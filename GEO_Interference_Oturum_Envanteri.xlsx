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Özet" sheetId="1" state="visible" r:id="rId3"/>
    <sheet name="Ajanlar" sheetId="2" state="visible" r:id="rId4"/>
    <sheet name="Artifaktlar" sheetId="3" state="visible" r:id="rId5"/>
    <sheet name="Dosyalar" sheetId="4" state="visible" r:id="rId6"/>
    <sheet name="Bellek" sheetId="5" state="visible" r:id="rId7"/>
    <sheet name="Araçlar" sheetId="6" state="visible" r:id="rId8"/>
    <sheet name="Kaynaklar" sheetId="7" state="visible" r:id="rId9"/>
    <sheet name="Düzeltmeler" sheetId="8" state="visible" r:id="rId10"/>
    <sheet name="Kontrol" sheetId="9" state="visible" r:id="rId11"/>
    <sheet name="Denetçi" sheetId="10" state="visible" r:id="rId12"/>
    <sheet name="Görevler"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<sst xmlns="http://schemas.openxmlformats.org/spreadsheetml/2006/main" count="1504" uniqueCount="1034">
  <si>
    <t xml:space="preserve">Oturum envanteri — Payload-Aware Open-Set Interference Recognition for GEO Transponders</t>
  </si>
  <si>
    <t xml:space="preserve">Bu sohbette kullanılan ajanlar, artifaktlar, dosyalar, bellek dosyaları, araçlar, kaynaklar ve doğrulama kayıtları. Sayılar diğer sayfalardan formülle hesaplanır.</t>
  </si>
  <si>
    <t xml:space="preserve">Ana belge</t>
  </si>
  <si>
    <t xml:space="preserve">https://claude.ai/code/artifact/0ded3fdb-7ec8-44fe-9ac6-10dd01719627</t>
  </si>
  <si>
    <t xml:space="preserve">GitHub deposu</t>
  </si>
  <si>
    <t xml:space="preserve">https://github.com/mythril33/Payload-Aware-Open-Set-Interference-Recognition-for-GEO-Transponders</t>
  </si>
  <si>
    <t xml:space="preserve">Kaynak sayısı</t>
  </si>
  <si>
    <t xml:space="preserve">Kayıt sisteminden doğrulanan (Crossref/arXiv/DataCite)</t>
  </si>
  <si>
    <t xml:space="preserve">Yayıncı sayfasından doğrulanan</t>
  </si>
  <si>
    <t xml:space="preserve">İkincil kaynaktan doğrulanan</t>
  </si>
  <si>
    <t xml:space="preserve">Ticari / üretici kaynağı (hakemsiz)</t>
  </si>
  <si>
    <t xml:space="preserve">Veri seti</t>
  </si>
  <si>
    <t xml:space="preserve">Yapılan düzeltme</t>
  </si>
  <si>
    <t xml:space="preserve">Kritik düzeltme</t>
  </si>
  <si>
    <t xml:space="preserve">Kontrol betiği bulgusu: önce</t>
  </si>
  <si>
    <t xml:space="preserve">Kontrol betiği bulgusu: sonra</t>
  </si>
  <si>
    <t xml:space="preserve">Ajan / araştırma görevi</t>
  </si>
  <si>
    <t xml:space="preserve">Yerel dosya</t>
  </si>
  <si>
    <t xml:space="preserve">Bellek dosyası (listelenen)</t>
  </si>
  <si>
    <t xml:space="preserve">Bellek dosyası (bu sohbette kullanılan)</t>
  </si>
  <si>
    <t xml:space="preserve">Sayfalar</t>
  </si>
  <si>
    <t xml:space="preserve">Ajanlar</t>
  </si>
  <si>
    <t xml:space="preserve">Araştırma görevi ve bağımsız denetçi</t>
  </si>
  <si>
    <t xml:space="preserve">Artifaktlar</t>
  </si>
  <si>
    <t xml:space="preserve">Belge, 3 şekil, GitHub deposu</t>
  </si>
  <si>
    <t xml:space="preserve">Dosyalar</t>
  </si>
  <si>
    <t xml:space="preserve">Oluşturulan .md, .json, .py ve veri dosyaları, tam yollarıyla</t>
  </si>
  <si>
    <t xml:space="preserve">Bellek</t>
  </si>
  <si>
    <t xml:space="preserve">Bellek dosyaları; bu sohbette kullanılanların içeriğiyle</t>
  </si>
  <si>
    <t xml:space="preserve">Araçlar</t>
  </si>
  <si>
    <t xml:space="preserve">Kullanılan araç ve servisler</t>
  </si>
  <si>
    <t xml:space="preserve">Kaynaklar</t>
  </si>
  <si>
    <t xml:space="preserve">95 kaynağın doğrulanmış künyesi, durumu ve kanıt bağlantısı</t>
  </si>
  <si>
    <t xml:space="preserve">Düzeltmeler</t>
  </si>
  <si>
    <t xml:space="preserve">Doğrulamada bulunan hatalar: önce → sonra</t>
  </si>
  <si>
    <t xml:space="preserve">Kontrol</t>
  </si>
  <si>
    <t xml:space="preserve">litcheck.py C1–C9 sonuçları, önce/sonra</t>
  </si>
  <si>
    <t xml:space="preserve">Denetçi</t>
  </si>
  <si>
    <t xml:space="preserve">Bağımsız denetçinin bulguları ve uygulanan düzeltmeler</t>
  </si>
  <si>
    <t xml:space="preserve">Görevler</t>
  </si>
  <si>
    <t xml:space="preserve">Görev listesi</t>
  </si>
  <si>
    <t xml:space="preserve">Ajan / görev</t>
  </si>
  <si>
    <t xml:space="preserve">Kimlik</t>
  </si>
  <si>
    <t xml:space="preserve">Durum</t>
  </si>
  <si>
    <t xml:space="preserve">Görev tanımı</t>
  </si>
  <si>
    <t xml:space="preserve">Çıktı</t>
  </si>
  <si>
    <t xml:space="preserve">Ne zaman</t>
  </si>
  <si>
    <t xml:space="preserve">Araştırma görevi (research tool)</t>
  </si>
  <si>
    <t xml:space="preserve">wf-0c957b95-d892-5947-a414-71b932e72666</t>
  </si>
  <si>
    <t xml:space="preserve">Tamamlandı</t>
  </si>
  <si>
    <t xml:space="preserve">Literatür taraması: 10 araştırma sorusu, boşluk matrisi, açıklamalı kaynakça, veri seti envanteri, öneriler</t>
  </si>
  <si>
    <t xml:space="preserve">93 maddelik açıklamalı kaynakça + boşluk matrisi; sohbette rapor olarak gösterildi</t>
  </si>
  <si>
    <t xml:space="preserve">Tur 1</t>
  </si>
  <si>
    <t xml:space="preserve">Bağımsız denetçi (general-purpose alt ajan)</t>
  </si>
  <si>
    <t xml:space="preserve">—</t>
  </si>
  <si>
    <t xml:space="preserve">Tamamlandı (5 kritik, 13 önemli, 28 küçük; 78 iddia: 57 doğrulandı, 14 çelişti, 7 erişilemedi)</t>
  </si>
  <si>
    <t xml:space="preserve">Belgeyi ilk kez gören denetçi: iddia–kaynak uyumu, formüllerin doğruluğu, tutarlılık, abartılı iddialar</t>
  </si>
  <si>
    <t xml:space="preserve">/tmp/claude-0/-home-claude/e7bbf739-7036-52ab-b0d0-11e825c6407f/scratchpad/litcheck/review_findings.md</t>
  </si>
  <si>
    <t xml:space="preserve">Tur 3</t>
  </si>
  <si>
    <t xml:space="preserve">Tür</t>
  </si>
  <si>
    <t xml:space="preserve">Ad</t>
  </si>
  <si>
    <t xml:space="preserve">Konum / kimlik</t>
  </si>
  <si>
    <t xml:space="preserve">İçerik</t>
  </si>
  <si>
    <t xml:space="preserve">Belge (Claude Docs)</t>
  </si>
  <si>
    <t xml:space="preserve">Literature Review — Payload-Aware Open-Set Interference Recognition for GEO Transponders</t>
  </si>
  <si>
    <t xml:space="preserve">Ana çıktı: 8 bölüm, Notation, 2 tablo + boşluk matrisi, 3 şekil, ~25 formül, 95 kaynak</t>
  </si>
  <si>
    <t xml:space="preserve">Tur 2–3</t>
  </si>
  <si>
    <t xml:space="preserve">Şekil 1 (diyagram widget)</t>
  </si>
  <si>
    <t xml:space="preserve">Observation chain assumed in this project</t>
  </si>
  <si>
    <t xml:space="preserve">node 4fb38b8b-a3e5</t>
  </si>
  <si>
    <t xml:space="preserve">Uplink → alıcı → IMUX → TWTA → OMUX → downlink → 4 izleme girdisi → tanıyıcı</t>
  </si>
  <si>
    <t xml:space="preserve">Tur 2</t>
  </si>
  <si>
    <t xml:space="preserve">Şekil 2 (grafik widget)</t>
  </si>
  <si>
    <t xml:space="preserve">Saleh TWTA AM/AM ve AM/PM eğrileri</t>
  </si>
  <si>
    <t xml:space="preserve">node 058d0ea8-d1fe</t>
  </si>
  <si>
    <t xml:space="preserve">Saleh modeli (αa=2.1587, βa=1.1517, αφ=4.0033, βφ=9.1040); IBO 10 dB: 0.8 dB / 11°, IBO 1 dB: 5.1 dB / 22°</t>
  </si>
  <si>
    <t xml:space="preserve">Şekil 3 (grafik widget)</t>
  </si>
  <si>
    <t xml:space="preserve">Çok taşıyıcılı IM spektrumu, IBO 1 dB ve 10 dB</t>
  </si>
  <si>
    <t xml:space="preserve">node 27ed1375-8a71</t>
  </si>
  <si>
    <t xml:space="preserve">Bu çalışma için simüle edildi: 3 QPSK taşıyıcı, RRC 0.2, Saleh TWTA, Welch PSD; IM3 yeniden büyümesi ≈10 dB düşüyor</t>
  </si>
  <si>
    <t xml:space="preserve">GitHub deposu (hedef)</t>
  </si>
  <si>
    <t xml:space="preserve">mythril33/Payload-Aware-Open-Set-Interference-Recognition-for-GEO-Transponders</t>
  </si>
  <si>
    <t xml:space="preserve">Projenin çalışma yeri; bu sohbette depoya henüz commit yapılmadı</t>
  </si>
  <si>
    <t xml:space="preserve">Yol</t>
  </si>
  <si>
    <t xml:space="preserve">Amaç</t>
  </si>
  <si>
    <t xml:space="preserve">Boyut (bayt)</t>
  </si>
  <si>
    <t xml:space="preserve">Diskte</t>
  </si>
  <si>
    <t xml:space="preserve">/tmp/claude-0/-home-claude/e7bbf739-7036-52ab-b0d0-11e825c6407f/scratchpad/litcheck/refs.json</t>
  </si>
  <si>
    <t xml:space="preserve">JSON</t>
  </si>
  <si>
    <t xml:space="preserve">Kaynak manifesti (95 kaynak, doğrulama durumu ve kanıt URL'si)</t>
  </si>
  <si>
    <t xml:space="preserve">Var</t>
  </si>
  <si>
    <t xml:space="preserve">/tmp/claude-0/-home-claude/e7bbf739-7036-52ab-b0d0-11e825c6407f/scratchpad/litcheck/refs.orig.json</t>
  </si>
  <si>
    <t xml:space="preserve">Manifestin doğrulama öncesi hâli (karşılaştırma için)</t>
  </si>
  <si>
    <t xml:space="preserve">/tmp/claude-0/-home-claude/e7bbf739-7036-52ab-b0d0-11e825c6407f/scratchpad/litcheck/litcheck.py</t>
  </si>
  <si>
    <t xml:space="preserve">Python</t>
  </si>
  <si>
    <t xml:space="preserve">Tekrar kullanılabilir kontrol betiği: C1–C9 denetimleri (atıf, sıra, işaretler, alanlar, DOI, başlık, şekil/tablo, kaynaksız sayılar)</t>
  </si>
  <si>
    <t xml:space="preserve">/tmp/claude-0/-home-claude/e7bbf739-7036-52ab-b0d0-11e825c6407f/scratchpad/litcheck/patch_manifest.py</t>
  </si>
  <si>
    <t xml:space="preserve">Kayıt doğrulamasından gelen düzeltmeleri manifeste uygular</t>
  </si>
  <si>
    <t xml:space="preserve">/tmp/claude-0/-home-claude/e7bbf739-7036-52ab-b0d0-11e825c6407f/scratchpad/litcheck/make_reflist.py</t>
  </si>
  <si>
    <t xml:space="preserve">Manifestten IEEE biçimli kaynakça üretir</t>
  </si>
  <si>
    <t xml:space="preserve">/tmp/claude-0/-home-claude/e7bbf739-7036-52ab-b0d0-11e825c6407f/scratchpad/litcheck/build_inventory.py</t>
  </si>
  <si>
    <t xml:space="preserve">Bu Excel'i üreten betik</t>
  </si>
  <si>
    <t xml:space="preserve">/tmp/claude-0/-home-claude/e7bbf739-7036-52ab-b0d0-11e825c6407f/scratchpad/litcheck/reflist.md</t>
  </si>
  <si>
    <t xml:space="preserve">Markdown</t>
  </si>
  <si>
    <t xml:space="preserve">Belgeye yerleştirilen IEEE kaynakçası</t>
  </si>
  <si>
    <t xml:space="preserve">/tmp/claude-0/-home-claude/e7bbf739-7036-52ab-b0d0-11e825c6407f/scratchpad/litcheck/planned_additions.md</t>
  </si>
  <si>
    <t xml:space="preserve">Gösterim tablosu, karşılaştırma tablosu ve metin düzeltmeleri taslağı (denetçiye verildi)</t>
  </si>
  <si>
    <t xml:space="preserve">/tmp/claude-0/-home-claude/e7bbf739-7036-52ab-b0d0-11e825c6407f/scratchpad/litcheck/doc.md</t>
  </si>
  <si>
    <t xml:space="preserve">Belgenin düzeltme öncesi dışa aktarımı (taban çizgisi; denetçinin incelediği sürüm)</t>
  </si>
  <si>
    <t xml:space="preserve">/tmp/claude-0/-home-claude/e7bbf739-7036-52ab-b0d0-11e825c6407f/scratchpad/litcheck/doc_v2.md</t>
  </si>
  <si>
    <t xml:space="preserve">Ara dışa aktarım (tablo taşınmadan önce)</t>
  </si>
  <si>
    <t xml:space="preserve">/tmp/claude-0/-home-claude/e7bbf739-7036-52ab-b0d0-11e825c6407f/scratchpad/litcheck/doc_v3.md</t>
  </si>
  <si>
    <t xml:space="preserve">Tablo taşındıktan sonraki dışa aktarım (denetçi düzeltmeleri öncesi)</t>
  </si>
  <si>
    <t xml:space="preserve">/tmp/claude-0/-home-claude/e7bbf739-7036-52ab-b0d0-11e825c6407f/scratchpad/litcheck/doc_final.md</t>
  </si>
  <si>
    <t xml:space="preserve">Denetçi düzeltmeleri sonrası son dışa aktarım</t>
  </si>
  <si>
    <t xml:space="preserve">/tmp/claude-0/-home-claude/e7bbf739-7036-52ab-b0d0-11e825c6407f/scratchpad/litcheck/review_rows.json</t>
  </si>
  <si>
    <t xml:space="preserve">Denetçi bulgularının tablo hâli ve uygulama durumu</t>
  </si>
  <si>
    <t xml:space="preserve">/tmp/claude-0/-home-claude/e7bbf739-7036-52ab-b0d0-11e825c6407f/scratchpad/litcheck/memory_snapshot.json</t>
  </si>
  <si>
    <t xml:space="preserve">Excel'e aktarılan bellek dosyası özeti</t>
  </si>
  <si>
    <t xml:space="preserve">/tmp/claude-0/-home-claude/e7bbf739-7036-52ab-b0d0-11e825c6407f/scratchpad/calc/fig.py</t>
  </si>
  <si>
    <t xml:space="preserve">Denetçinin Şekil 2–3 sayılarını yeniden hesapladığı betik</t>
  </si>
  <si>
    <t xml:space="preserve">/tmp/claude-0/-home-claude/e7bbf739-7036-52ab-b0d0-11e825c6407f/scratchpad/calc/slope.py</t>
  </si>
  <si>
    <t xml:space="preserve">Denetçinin C/IM3 eğimini IBO 1–25 dB aralığında hesapladığı betik</t>
  </si>
  <si>
    <t xml:space="preserve">Bağımsız denetçinin bulguları ve iddia kontrol günlüğü</t>
  </si>
  <si>
    <t xml:space="preserve">/tmp/claude-0/-home-claude/e7bbf739-7036-52ab-b0d0-11e825c6407f/scratchpad/litcheck/baseline.json</t>
  </si>
  <si>
    <t xml:space="preserve">Kontrol betiğinin ilk çıktısı (133 hata)</t>
  </si>
  <si>
    <t xml:space="preserve">/tmp/claude-0/-home-claude/e7bbf739-7036-52ab-b0d0-11e825c6407f/scratchpad/litcheck/baseline.txt</t>
  </si>
  <si>
    <t xml:space="preserve">Metin</t>
  </si>
  <si>
    <t xml:space="preserve">Kontrol betiğinin ilk çıktısı, okunur biçim</t>
  </si>
  <si>
    <t xml:space="preserve">/tmp/claude-0/-home-claude/e7bbf739-7036-52ab-b0d0-11e825c6407f/scratchpad/litcheck/after.json</t>
  </si>
  <si>
    <t xml:space="preserve">Kontrol betiğinin son çıktısı</t>
  </si>
  <si>
    <t xml:space="preserve">/tmp/sim.py</t>
  </si>
  <si>
    <t xml:space="preserve">Saleh eğrileri ve 3 taşıyıcılı TWTA spektrum simülasyonu (Şekil 2–3 verisi)</t>
  </si>
  <si>
    <t xml:space="preserve">/tmp/psd.json</t>
  </si>
  <si>
    <t xml:space="preserve">Şekil 3 için simüle PSD verisi (ham)</t>
  </si>
  <si>
    <t xml:space="preserve">/tmp/psd2.txt</t>
  </si>
  <si>
    <t xml:space="preserve">Şekil 3'e gömülen, seyreltilmiş PSD satırları</t>
  </si>
  <si>
    <t xml:space="preserve">Açıklama</t>
  </si>
  <si>
    <t xml:space="preserve">Bu sohbette kullanıldı mı</t>
  </si>
  <si>
    <t xml:space="preserve">Nasıl kullanıldı</t>
  </si>
  <si>
    <t xml:space="preserve">/projects/01a11fa2-e857-73e1-b7e9-02033500021a/areas/geo-interference-recognition.md</t>
  </si>
  <si>
    <t xml:space="preserve">Projenin kapsamı, kısıtları ve çalışma biçimi</t>
  </si>
  <si>
    <t xml:space="preserve">Evet</t>
  </si>
  <si>
    <t xml:space="preserve">Kapsam ve kısıtlar için okundu (36/72 MHz, ölçüm düzeneği yok, repo, harness yapısı)</t>
  </si>
  <si>
    <t xml:space="preserve">- "Payload-Aware Open-Set Interference Recognition for GEO Transponders" is a course project that the user intends to turn into a paper
- As of 2026-10-09 everything is still at the planning stage; wants step-by-step detailed planning, with corrections to the brief where needed
- Wants the work split into focused steps (one area per session) and wants dedicated skills / agent sets created to plan each step in detail
- Has no means to do desktop/bench measurements (no SDR + amplifier setup)
- The project's main GitHub home is the repo mythril33/Payload-Aware-Open-Set-Interference-Recognition-for-GEO-Transponders (its own repo, not a folder inside esm-dl)
- The course deadline is not a driver; priority is working effectively so as to start understanding and producing as soon as possible
- Transponder bandwidth must be able to be both 36 MHz and 72 MHz
- Hardware: a GPU is fine, but it may also be a standard laptop
- Wants the literature kept in the repo (source PDFs + per-source .md files) with a harness-engineering setup so sessions read those .md files when needed instead of re-running the literature search each time</t>
  </si>
  <si>
    <t xml:space="preserve">/projects/01a11fa2-e857-73e1-b7e9-02033500021a/index.md</t>
  </si>
  <si>
    <t xml:space="preserve">Proje bellek dizini</t>
  </si>
  <si>
    <t xml:space="preserve">Evet (okundu)</t>
  </si>
  <si>
    <t xml:space="preserve">Okundu; yalnızca proje adını içeriyor</t>
  </si>
  <si>
    <t xml:space="preserve">name/description: Payload-Aware Open-Set Interference Recognition for GEO Transponders</t>
  </si>
  <si>
    <t xml:space="preserve">/topics/deliverable-formats.md</t>
  </si>
  <si>
    <t xml:space="preserve">Teslimat biçimi ve dil tercihleri</t>
  </si>
  <si>
    <t xml:space="preserve">Biçim ve dil seçimi için okundu (bağımsız dosya tercihi, Türkçe içerik)</t>
  </si>
  <si>
    <t xml:space="preserve">- Prefers standalone HTML files over inline widgets
- Likes rich, multi-format interactive deliverables alongside reference documents (HTML/JS tools, DOCX, Excel workbooks, SVG visuals)
- Works across English and Turkish; sometimes requests the same material explained in Turkish
- Strongly prefers standalone file outputs (HTML, DOCX, Excel/xlsx, SVG, Markdown) over inline widget responses
- Preferred workflow: read relevant context → create file → present file
- Does not want Claude to stall on ambiguity — prefers proceeding with stated assumptions over asking excessive clarifying questions
- For Turkish-language content, expects the full deliverable in Turkish unless otherwise specified</t>
  </si>
  <si>
    <t xml:space="preserve">/profile.md</t>
  </si>
  <si>
    <t xml:space="preserve">Kullanıcı profili</t>
  </si>
  <si>
    <t xml:space="preserve">Evet (bağlam)</t>
  </si>
  <si>
    <t xml:space="preserve">Oturum başında otomatik yüklenen bağlam</t>
  </si>
  <si>
    <t xml:space="preserve">- Goes by Bb
- Works in or has strong interest in advanced engineering domains: satellite communications, radar systems, and engineering methodology
- Technical fluency suggesting professional or research-adjacent engagement
- Works comfortably across both English and Turkish
- Full name Burak Tos; Satellite Communication and RF System Specialist at TURKSAT (satellite operator), Ankara, Türkiye; at TURKSAT since March 2018, in this role since January 2023</t>
  </si>
  <si>
    <t xml:space="preserve">/areas/esm-dl.md</t>
  </si>
  <si>
    <t xml:space="preserve">ESM-DL GitHub projesi (darbe ayrıştırma makalesi)</t>
  </si>
  <si>
    <t xml:space="preserve">Hayır</t>
  </si>
  <si>
    <t xml:space="preserve">Bu sohbette kullanılmadı</t>
  </si>
  <si>
    <t xml:space="preserve">— (bu sohbetle ilgisiz; içerik eklenmedi)</t>
  </si>
  <si>
    <t xml:space="preserve">/areas/hts-beam-tool.md</t>
  </si>
  <si>
    <t xml:space="preserve">Çok huzmeli HTS bağlantı bütçesi HTML aracı</t>
  </si>
  <si>
    <t xml:space="preserve">/topics/recent-work.md</t>
  </si>
  <si>
    <t xml:space="preserve">Son tekil mühendislik çalışmaları</t>
  </si>
  <si>
    <t xml:space="preserve">/areas/career-direction.md</t>
  </si>
  <si>
    <t xml:space="preserve">Kariyer hedefi</t>
  </si>
  <si>
    <t xml:space="preserve">Araç / servis</t>
  </si>
  <si>
    <t xml:space="preserve">Kullanım amacı</t>
  </si>
  <si>
    <t xml:space="preserve">Araştırma aracı (launch_extended_search_task)</t>
  </si>
  <si>
    <t xml:space="preserve">Kapsamlı literatür taraması</t>
  </si>
  <si>
    <t xml:space="preserve">Claude Docs (batch / update / guide / export / read)</t>
  </si>
  <si>
    <t xml:space="preserve">Belgeyi oluşturma, bölüm bölüm doldurma, şekil widget'ları, dışa aktarım, ekran görüntüsüyle kontrol</t>
  </si>
  <si>
    <t xml:space="preserve">Artifact (open)</t>
  </si>
  <si>
    <t xml:space="preserve">Belgeyi kullanıcıya açma</t>
  </si>
  <si>
    <t xml:space="preserve">Exa web_fetch_exa / web_search_exa</t>
  </si>
  <si>
    <t xml:space="preserve">Crossref, arXiv, DataCite, yayıncı sayfaları ve özetlerden doğrulama</t>
  </si>
  <si>
    <t xml:space="preserve">Crossref REST API (Exa üzerinden)</t>
  </si>
  <si>
    <t xml:space="preserve">DOI, yazar, cilt/sayı/sayfa doğrulama; DOI'si olmayan kayıtlarda bibliyografik arama</t>
  </si>
  <si>
    <t xml:space="preserve">arXiv abstract sayfaları (Exa üzerinden)</t>
  </si>
  <si>
    <t xml:space="preserve">45+ arXiv kimliğinin başlık/yazar doğrulaması</t>
  </si>
  <si>
    <t xml:space="preserve">DataCite API (Exa üzerinden)</t>
  </si>
  <si>
    <t xml:space="preserve">IEEE DataPort veri seti DOI'si [94]</t>
  </si>
  <si>
    <t xml:space="preserve">Bash + Python (numpy, scipy, openpyxl)</t>
  </si>
  <si>
    <t xml:space="preserve">Simülasyon, kontrol betiği, manifest yamaları, Excel üretimi</t>
  </si>
  <si>
    <t xml:space="preserve">Agent (general-purpose)</t>
  </si>
  <si>
    <t xml:space="preserve">Bağımsız denetçi</t>
  </si>
  <si>
    <t xml:space="preserve">Bellek araçları (memory_read)</t>
  </si>
  <si>
    <t xml:space="preserve">Proje ve tercih dosyalarını okuma</t>
  </si>
  <si>
    <t xml:space="preserve">Görev listesi (TaskCreate / TaskUpdate)</t>
  </si>
  <si>
    <t xml:space="preserve">İlerleme takibi</t>
  </si>
  <si>
    <t xml:space="preserve">No</t>
  </si>
  <si>
    <t xml:space="preserve">Yazarlar</t>
  </si>
  <si>
    <t xml:space="preserve">Başlık</t>
  </si>
  <si>
    <t xml:space="preserve">Yayın yeri</t>
  </si>
  <si>
    <t xml:space="preserve">Yıl</t>
  </si>
  <si>
    <t xml:space="preserve">DOI</t>
  </si>
  <si>
    <t xml:space="preserve">arXiv</t>
  </si>
  <si>
    <t xml:space="preserve">Bağlantı</t>
  </si>
  <si>
    <t xml:space="preserve">Doğrulama durumu</t>
  </si>
  <si>
    <t xml:space="preserve">Kanıt</t>
  </si>
  <si>
    <t xml:space="preserve">Not</t>
  </si>
  <si>
    <t xml:space="preserve">J. Bates</t>
  </si>
  <si>
    <t xml:space="preserve">Satellite operators target interference problem</t>
  </si>
  <si>
    <t xml:space="preserve">Via Satellite</t>
  </si>
  <si>
    <t xml:space="preserve">2005</t>
  </si>
  <si>
    <t xml:space="preserve">https://www.satellitetoday.com/connectivity/2005/08/01/satellite-operators-target-interference-problem/</t>
  </si>
  <si>
    <t xml:space="preserve">vendor-or-trade</t>
  </si>
  <si>
    <t xml:space="preserve">M. Coleman</t>
  </si>
  <si>
    <t xml:space="preserve">Tackling satellite interference</t>
  </si>
  <si>
    <t xml:space="preserve">Microwave Journal</t>
  </si>
  <si>
    <t xml:space="preserve">2012</t>
  </si>
  <si>
    <t xml:space="preserve">https://www.microwavejournal.com/articles/18088-tackling-satellite-interference</t>
  </si>
  <si>
    <t xml:space="preserve">does not mention carrier-under-carrier or Kratos; cited for operator statistics and the cross-pol CW case</t>
  </si>
  <si>
    <t xml:space="preserve">Kratos</t>
  </si>
  <si>
    <t xml:space="preserve">Complete VSAT interference mitigation</t>
  </si>
  <si>
    <t xml:space="preserve">fact sheet</t>
  </si>
  <si>
    <t xml:space="preserve">https://www.kratosspace.com/-/media/communications/pdf/fact-sheet---complete-vsat-interference-mitigation.pdf</t>
  </si>
  <si>
    <t xml:space="preserve">M. Á. Vázquez, P. Henarejos, A. I. Pérez-Neira, E. Grechi, A. Voight, J. C. Gil, I. Pappalardo, F. Di Credico, R. M. Lancellotti</t>
  </si>
  <si>
    <t xml:space="preserve">On the use of AI for satellite communications</t>
  </si>
  <si>
    <t xml:space="preserve">IEEE ComSoc SSC Newsletter</t>
  </si>
  <si>
    <t xml:space="preserve">2019</t>
  </si>
  <si>
    <t xml:space="preserve">2007.10110</t>
  </si>
  <si>
    <t xml:space="preserve">https://arxiv.org/abs/2007.10110</t>
  </si>
  <si>
    <t xml:space="preserve">verified-registry</t>
  </si>
  <si>
    <t xml:space="preserve">Kratos KnownSpace detects sustained Iran origin RF interference targeting GEO communications</t>
  </si>
  <si>
    <t xml:space="preserve">press release</t>
  </si>
  <si>
    <t xml:space="preserve">2026</t>
  </si>
  <si>
    <t xml:space="preserve">https://www.kratosspace.com/sdatracker/kratos-knownspace-detects-sustained-iran-origin-rf-interference-targeting-geo-communications</t>
  </si>
  <si>
    <t xml:space="preserve">M. Á. Vázquez, P. Henarejos, I. Pappalardo, E. Grechi, J. Fort, J. C. Gil, R. M. Lancellotti</t>
  </si>
  <si>
    <t xml:space="preserve">Machine learning for satellite communications operations</t>
  </si>
  <si>
    <t xml:space="preserve">IEEE Commun. Mag., vol. 59, no. 2, pp. 22-27</t>
  </si>
  <si>
    <t xml:space="preserve">2021</t>
  </si>
  <si>
    <t xml:space="preserve">10.1109/MCOM.001.2000367</t>
  </si>
  <si>
    <t xml:space="preserve">https://doi.org/10.1109/MCOM.001.2000367</t>
  </si>
  <si>
    <t xml:space="preserve">https://api.crossref.org/works/10.1109/MCOM.001.2000367</t>
  </si>
  <si>
    <t xml:space="preserve">44% vs "other approaches" (abstract); detector architecture and baseline not confirmed from full text</t>
  </si>
  <si>
    <t xml:space="preserve">A. I. Pérez-Neira, M. Á. Vázquez, S. Maleki, M. R. B. Shankar, S. Chatzinotas</t>
  </si>
  <si>
    <t xml:space="preserve">Signal processing for high throughput satellite systems: Challenges in new interference-limited scenarios</t>
  </si>
  <si>
    <t xml:space="preserve">2018</t>
  </si>
  <si>
    <t xml:space="preserve">1802.03958</t>
  </si>
  <si>
    <t xml:space="preserve">https://arxiv.org/abs/1802.03958</t>
  </si>
  <si>
    <t xml:space="preserve">C. Politis, S. Maleki, C. Tsinos, S. Chatzinotas, B. Ottersten</t>
  </si>
  <si>
    <t xml:space="preserve">On-board the satellite interference detection with imperfect signal cancellation</t>
  </si>
  <si>
    <t xml:space="preserve">Proc. IEEE SPAWC, pp. 1-5</t>
  </si>
  <si>
    <t xml:space="preserve">2016</t>
  </si>
  <si>
    <t xml:space="preserve">10.1109/SPAWC.2016.7536813</t>
  </si>
  <si>
    <t xml:space="preserve">https://doi.org/10.1109/SPAWC.2016.7536813</t>
  </si>
  <si>
    <t xml:space="preserve">https://api.crossref.org/works/10.1109/SPAWC.2016.7536813</t>
  </si>
  <si>
    <t xml:space="preserve">Weak interference detection with signal cancellation in satellite communications</t>
  </si>
  <si>
    <t xml:space="preserve">Proc. IEEE ICASSP, pp. 6289-6293</t>
  </si>
  <si>
    <t xml:space="preserve">2017</t>
  </si>
  <si>
    <t xml:space="preserve">10.1109/ICASSP.2017.7953366</t>
  </si>
  <si>
    <t xml:space="preserve">https://doi.org/10.1109/ICASSP.2017.7953366</t>
  </si>
  <si>
    <t xml:space="preserve">https://api.crossref.org/works/10.1109/ICASSP.2017.7953366</t>
  </si>
  <si>
    <t xml:space="preserve">H. M. Finn, R. S. Johnson</t>
  </si>
  <si>
    <t xml:space="preserve">Adaptive detection mode with threshold control as a function of spatially sampled clutter-level estimates</t>
  </si>
  <si>
    <t xml:space="preserve">RCA Review, vol. 29, no. 3, pp. 414-464</t>
  </si>
  <si>
    <t xml:space="preserve">1968</t>
  </si>
  <si>
    <t xml:space="preserve">verified-secondary</t>
  </si>
  <si>
    <t xml:space="preserve">print-only journal; standard citation used across the CFAR literature</t>
  </si>
  <si>
    <t xml:space="preserve">W. A. Gardner</t>
  </si>
  <si>
    <t xml:space="preserve">Exploitation of spectral redundancy in cyclostationary signals</t>
  </si>
  <si>
    <t xml:space="preserve">IEEE Signal Process. Mag., vol. 8, no. 2, pp. 14-36</t>
  </si>
  <si>
    <t xml:space="preserve">1991</t>
  </si>
  <si>
    <t xml:space="preserve">10.1109/79.81007</t>
  </si>
  <si>
    <t xml:space="preserve">https://doi.org/10.1109/79.81007</t>
  </si>
  <si>
    <t xml:space="preserve">https://api.crossref.org/works/10.1109/79.81007</t>
  </si>
  <si>
    <t xml:space="preserve">B. Kim, H. Yu, S. Noh</t>
  </si>
  <si>
    <t xml:space="preserve">Cognitive interference cancellation with digital channelizer for satellite communication</t>
  </si>
  <si>
    <t xml:space="preserve">Sensors, vol. 20, no. 2, art. 355</t>
  </si>
  <si>
    <t xml:space="preserve">2020</t>
  </si>
  <si>
    <t xml:space="preserve">10.3390/s20020355</t>
  </si>
  <si>
    <t xml:space="preserve">https://doi.org/10.3390/s20020355</t>
  </si>
  <si>
    <t xml:space="preserve">https://api.crossref.org/works/10.3390/s20020355</t>
  </si>
  <si>
    <t xml:space="preserve">ITU-R</t>
  </si>
  <si>
    <t xml:space="preserve">Carrier identification system for FSS occasional use earth station transmissions</t>
  </si>
  <si>
    <t xml:space="preserve">Recommendation S.2062-0</t>
  </si>
  <si>
    <t xml:space="preserve">2014</t>
  </si>
  <si>
    <t xml:space="preserve">https://www.itu.int/dms_pubrec/itu-r/rec/s/R-REC-S.2062-0-201409-I!!PDF-E.pdf</t>
  </si>
  <si>
    <t xml:space="preserve">verified-publisher</t>
  </si>
  <si>
    <t xml:space="preserve">B. Potter</t>
  </si>
  <si>
    <t xml:space="preserve">Preventing adjacent satellite interference</t>
  </si>
  <si>
    <t xml:space="preserve">https://www.satellitetoday.com/technology/2014/03/26/preventing-adjacent-satellite-interference/</t>
  </si>
  <si>
    <t xml:space="preserve">Rohde &amp; Schwarz</t>
  </si>
  <si>
    <t xml:space="preserve">R&amp;S GSACSM communications system monitoring</t>
  </si>
  <si>
    <t xml:space="preserve">product page</t>
  </si>
  <si>
    <t xml:space="preserve">https://www.rohde-schwarz.com/us/products/aerospace-defense-security/secure-communications-options/rs-gsacsm-communications-system-monitoring_63493-636288.html</t>
  </si>
  <si>
    <t xml:space="preserve">Integrasys</t>
  </si>
  <si>
    <t xml:space="preserve">VectorSat interference detection</t>
  </si>
  <si>
    <t xml:space="preserve">https://www.integrasys-space.com/interference-detection</t>
  </si>
  <si>
    <t xml:space="preserve">Calian</t>
  </si>
  <si>
    <t xml:space="preserve">Decimator carrier-under-carrier detection</t>
  </si>
  <si>
    <t xml:space="preserve">https://www.calian.com/advanced-technologies/space-satcom/decimator-carrier-under-carrier-detection/</t>
  </si>
  <si>
    <t xml:space="preserve">P. Henarejos, M. Á. Vázquez, A. I. Pérez-Neira</t>
  </si>
  <si>
    <t xml:space="preserve">Deep learning for experimental hybrid terrestrial and satellite interference management</t>
  </si>
  <si>
    <t xml:space="preserve">10.1109/SPAWC.2019.8815532</t>
  </si>
  <si>
    <t xml:space="preserve">1906.03012</t>
  </si>
  <si>
    <t xml:space="preserve">https://doi.org/10.1109/SPAWC.2019.8815532</t>
  </si>
  <si>
    <t xml:space="preserve">https://api.crossref.org/works/10.1109/SPAWC.2019.8815532</t>
  </si>
  <si>
    <t xml:space="preserve">L. Pellaco, N. Singh, J. Jaldén</t>
  </si>
  <si>
    <t xml:space="preserve">Spectrum prediction and interference detection for satellite communications</t>
  </si>
  <si>
    <t xml:space="preserve">Proc. ICSSC</t>
  </si>
  <si>
    <t xml:space="preserve">1912.04716</t>
  </si>
  <si>
    <t xml:space="preserve">https://arxiv.org/abs/1912.04716</t>
  </si>
  <si>
    <t xml:space="preserve">S. Daoud, G. Eappen, F. Ortiz, E. Lagunas, W. Martins, S. Chatzinotas</t>
  </si>
  <si>
    <t xml:space="preserve">CNN-based on-board interference detection in satellite systems: An analysis of dataset impact on performance</t>
  </si>
  <si>
    <t xml:space="preserve">Proc. IEEE ICASSP Workshops (ICASSPW), pp. 1-5</t>
  </si>
  <si>
    <t xml:space="preserve">2023</t>
  </si>
  <si>
    <t xml:space="preserve">10.1109/ICASSPW59220.2023.10193395</t>
  </si>
  <si>
    <t xml:space="preserve">https://doi.org/10.1109/ICASSPW59220.2023.10193395</t>
  </si>
  <si>
    <t xml:space="preserve">https://api.crossref.org/works/10.1109/ICASSPW59220.2023.10193395</t>
  </si>
  <si>
    <t xml:space="preserve">A. Saifaldawla, F. Ortiz, E. Lagunas, S. Daoud, S. Chatzinotas</t>
  </si>
  <si>
    <t xml:space="preserve">NGSO-to-GSO satellite interference detection based on autoencoder</t>
  </si>
  <si>
    <t xml:space="preserve">Proc. IEEE PIMRC, pp. 1-7</t>
  </si>
  <si>
    <t xml:space="preserve">10.1109/PIMRC56721.2023.10293839</t>
  </si>
  <si>
    <t xml:space="preserve">https://doi.org/10.1109/PIMRC56721.2023.10293839</t>
  </si>
  <si>
    <t xml:space="preserve">https://api.crossref.org/works/10.1109/PIMRC56721.2023.10293839</t>
  </si>
  <si>
    <t xml:space="preserve">A. Saifaldawla, F. Ortiz, E. Lagunas, S. Chatzinotas</t>
  </si>
  <si>
    <t xml:space="preserve">Convolutional autoencoders for non-geostationary satellite interference detection</t>
  </si>
  <si>
    <t xml:space="preserve">Proc. IEEE ICC Workshops, pp. 1334-1339</t>
  </si>
  <si>
    <t xml:space="preserve">2024</t>
  </si>
  <si>
    <t xml:space="preserve">10.1109/ICCWorkshops59551.2024.10615457</t>
  </si>
  <si>
    <t xml:space="preserve">https://doi.org/10.1109/ICCWorkshops59551.2024.10615457</t>
  </si>
  <si>
    <t xml:space="preserve">https://api.crossref.org/works/10.1109/ICCWorkshops59551.2024.10615457</t>
  </si>
  <si>
    <t xml:space="preserve">A. Saifaldawla, F. Ortiz, E. Lagunas, A. B. M. Adam, S. Chatzinotas</t>
  </si>
  <si>
    <t xml:space="preserve">GenAI-based models for NGSO satellites interference detection</t>
  </si>
  <si>
    <t xml:space="preserve">IEEE Trans. Mach. Learn. Commun. Netw., vol. 2, pp. 904-924</t>
  </si>
  <si>
    <t xml:space="preserve">10.1109/TMLCN.2024.3418933</t>
  </si>
  <si>
    <t xml:space="preserve">https://doi.org/10.1109/TMLCN.2024.3418933</t>
  </si>
  <si>
    <t xml:space="preserve">https://api.crossref.org/works/10.1109/TMLCN.2024.3418933</t>
  </si>
  <si>
    <t xml:space="preserve">B. Yang, C. Yang, Z. Chen, K. Qiu, Y. Gao</t>
  </si>
  <si>
    <t xml:space="preserve">Agon: A semi-supervised framework for robust satellite interference detection</t>
  </si>
  <si>
    <t xml:space="preserve">arXiv preprint</t>
  </si>
  <si>
    <t xml:space="preserve">2606.14147</t>
  </si>
  <si>
    <t xml:space="preserve">https://arxiv.org/abs/2606.14147</t>
  </si>
  <si>
    <t xml:space="preserve">H. Yu, R. Zhang, R. Ding</t>
  </si>
  <si>
    <t xml:space="preserve">Interference recognition based on machine learning for satellite communications</t>
  </si>
  <si>
    <t xml:space="preserve">Proc. Int. Conf. Machine Learning Technologies (ICMLT), pp. 18-23</t>
  </si>
  <si>
    <t xml:space="preserve">10.1145/3231884.3231901</t>
  </si>
  <si>
    <t xml:space="preserve">https://doi.org/10.1145/3231884.3231901</t>
  </si>
  <si>
    <t xml:space="preserve">https://api.crossref.org/works/10.1145/3231884.3231901</t>
  </si>
  <si>
    <t xml:space="preserve">X. Han</t>
  </si>
  <si>
    <t xml:space="preserve">Artificial intelligence-based interference signal recognition for satellite communications</t>
  </si>
  <si>
    <t xml:space="preserve">Proc. ACSAT, pp. 279-282</t>
  </si>
  <si>
    <t xml:space="preserve">10.1109/ACSAT63853.2024.10823708</t>
  </si>
  <si>
    <t xml:space="preserve">https://doi.org/10.1109/ACSAT63853.2024.10823708</t>
  </si>
  <si>
    <t xml:space="preserve">https://api.crossref.org/works/10.1109/ACSAT63853.2024.10823708</t>
  </si>
  <si>
    <t xml:space="preserve">H. Xiong</t>
  </si>
  <si>
    <t xml:space="preserve">Research on interference detection and identification algorithms for satellite communication systems</t>
  </si>
  <si>
    <t xml:space="preserve">Proc. ICECAI, pp. 84-87</t>
  </si>
  <si>
    <t xml:space="preserve">2025</t>
  </si>
  <si>
    <t xml:space="preserve">10.1109/ICECAI66283.2025.11170987</t>
  </si>
  <si>
    <t xml:space="preserve">https://doi.org/10.1109/ICECAI66283.2025.11170987</t>
  </si>
  <si>
    <t xml:space="preserve">https://api.crossref.org/works/10.1109/ICECAI66283.2025.11170987</t>
  </si>
  <si>
    <t xml:space="preserve">F. Ortiz, V. Monzon Baeza, L. M. Garces-Socarras, J. A. Vásquez-Peralvo, J. L. Gonzalez et al.</t>
  </si>
  <si>
    <t xml:space="preserve">Onboard processing in satellite communications using AI accelerators</t>
  </si>
  <si>
    <t xml:space="preserve">Aerospace, vol. 10, no. 2, art. 101</t>
  </si>
  <si>
    <t xml:space="preserve">10.3390/aerospace10020101</t>
  </si>
  <si>
    <t xml:space="preserve">https://doi.org/10.3390/aerospace10020101</t>
  </si>
  <si>
    <t xml:space="preserve">https://api.crossref.org/works/10.3390/aerospace10020101</t>
  </si>
  <si>
    <t xml:space="preserve">F. Fourati, M.-S. Alouini</t>
  </si>
  <si>
    <t xml:space="preserve">Artificial intelligence for satellite communication: A review</t>
  </si>
  <si>
    <t xml:space="preserve">2101.10899</t>
  </si>
  <si>
    <t xml:space="preserve">https://arxiv.org/abs/2101.10899</t>
  </si>
  <si>
    <t xml:space="preserve">G. Fontanesi, F. Ortíz, E. Lagunas et al.</t>
  </si>
  <si>
    <t xml:space="preserve">Artificial intelligence for satellite communication: A survey</t>
  </si>
  <si>
    <t xml:space="preserve">preprint, Univ. Luxembourg ORBilu</t>
  </si>
  <si>
    <t xml:space="preserve">https://orbilu.uni.lu/bitstream/10993/65397/1/Artificial_Intelligence_for_Satellite_Communication_A_Survey.pdf</t>
  </si>
  <si>
    <t xml:space="preserve">A. Bhattacharyya, S. M. Nambiar, R. Ojha, A. Gyaneshwar, U. Chadha, K. Srinivasan</t>
  </si>
  <si>
    <t xml:space="preserve">Machine learning and deep learning powered satellite communications: Enabling technologies, applications, open challenges, and future research directions</t>
  </si>
  <si>
    <t xml:space="preserve">Int. J. Satell. Commun. Netw., vol. 41, no. 6, pp. 539-588</t>
  </si>
  <si>
    <t xml:space="preserve">10.1002/sat.1482</t>
  </si>
  <si>
    <t xml:space="preserve">https://doi.org/10.1002/sat.1482</t>
  </si>
  <si>
    <t xml:space="preserve">https://api.crossref.org/works/10.1002/sat.1482</t>
  </si>
  <si>
    <t xml:space="preserve">T. Brieger, N. L. Raichur, D. Jdidi, F. Ott, T. Feigl, J. R. van der Merwe et al.</t>
  </si>
  <si>
    <t xml:space="preserve">Multimodal learning for reliable interference classification in GNSS signals</t>
  </si>
  <si>
    <t xml:space="preserve">Proc. ION GNSS+, pp. 3210-3234</t>
  </si>
  <si>
    <t xml:space="preserve">2022</t>
  </si>
  <si>
    <t xml:space="preserve">10.33012/2022.18586</t>
  </si>
  <si>
    <t xml:space="preserve">https://doi.org/10.33012/2022.18586</t>
  </si>
  <si>
    <t xml:space="preserve">https://www.researchgate.net/publication/364056875</t>
  </si>
  <si>
    <t xml:space="preserve">J. R. van der Merwe et al.</t>
  </si>
  <si>
    <t xml:space="preserve">Low-cost COTS GNSS interference monitoring, detection, and classification system</t>
  </si>
  <si>
    <t xml:space="preserve">Sensors, vol. 23, no. 7, art. 3452</t>
  </si>
  <si>
    <t xml:space="preserve">10.3390/s23073452</t>
  </si>
  <si>
    <t xml:space="preserve">https://doi.org/10.3390/s23073452</t>
  </si>
  <si>
    <t xml:space="preserve">https://api.crossref.org/works/10.3390/s23073452</t>
  </si>
  <si>
    <t xml:space="preserve">F. Ott, L. Heublein, N. L. Raichur, T. Feigl, J. Hansen, A. Rügamer, C. Mutschler</t>
  </si>
  <si>
    <t xml:space="preserve">Few-shot learning with uncertainty-based quadruplet selection for interference classification in GNSS data</t>
  </si>
  <si>
    <t xml:space="preserve">Proc. ICL-GNSS, pp. 1-7</t>
  </si>
  <si>
    <t xml:space="preserve">10.1109/ICL-GNSS60721.2024.10578525</t>
  </si>
  <si>
    <t xml:space="preserve">https://doi.org/10.1109/ICL-GNSS60721.2024.10578525</t>
  </si>
  <si>
    <t xml:space="preserve">https://api.crossref.org/works/10.1109/ICL-GNSS60721.2024.10578525</t>
  </si>
  <si>
    <t xml:space="preserve">L. Heublein, N. L. Raichur, T. Feigl, T. Brieger, F. Heuer et al.</t>
  </si>
  <si>
    <t xml:space="preserve">Evaluation of (un-)supervised machine learning methods for GNSS interference classification with real-world data discrepancies</t>
  </si>
  <si>
    <t xml:space="preserve">Proc. ION GNSS+</t>
  </si>
  <si>
    <t xml:space="preserve">2503.23775</t>
  </si>
  <si>
    <t xml:space="preserve">https://arxiv.org/abs/2503.23775</t>
  </si>
  <si>
    <t xml:space="preserve">L. Heublein et al.</t>
  </si>
  <si>
    <t xml:space="preserve">VAE-based feature disentanglement for data augmentation and compression in generalized GNSS interference classification</t>
  </si>
  <si>
    <t xml:space="preserve">2504.10556</t>
  </si>
  <si>
    <t xml:space="preserve">https://arxiv.org/abs/2504.10556</t>
  </si>
  <si>
    <t xml:space="preserve">C. Wielenberg, L. Heublein, J. Ott et al.</t>
  </si>
  <si>
    <t xml:space="preserve">The S-ICDF dataset: Sionna-simulated dynamic interference characterization and direction finding</t>
  </si>
  <si>
    <t xml:space="preserve">2607.03411</t>
  </si>
  <si>
    <t xml:space="preserve">https://arxiv.org/abs/2607.03411</t>
  </si>
  <si>
    <t xml:space="preserve">I. Ebrahimi Mehr, F. Dovis</t>
  </si>
  <si>
    <t xml:space="preserve">A deep neural network approach for classification of GNSS interference and jamming</t>
  </si>
  <si>
    <t xml:space="preserve">IEEE Trans. Aerosp. Electron. Syst., vol. 61, no. 2, pp. 1660-1676</t>
  </si>
  <si>
    <t xml:space="preserve">10.1109/TAES.2024.3462662</t>
  </si>
  <si>
    <t xml:space="preserve">https://doi.org/10.1109/TAES.2024.3462662</t>
  </si>
  <si>
    <t xml:space="preserve">https://api.crossref.org/works/10.1109/TAES.2024.3462662</t>
  </si>
  <si>
    <t xml:space="preserve">T. J. O'Shea, T. Roy, T. C. Clancy</t>
  </si>
  <si>
    <t xml:space="preserve">Over-the-air deep learning based radio signal classification</t>
  </si>
  <si>
    <t xml:space="preserve">IEEE J. Sel. Topics Signal Process., vol. 12, no. 1, pp. 168-179</t>
  </si>
  <si>
    <t xml:space="preserve">10.1109/JSTSP.2018.2797022</t>
  </si>
  <si>
    <t xml:space="preserve">1712.04578</t>
  </si>
  <si>
    <t xml:space="preserve">https://doi.org/10.1109/JSTSP.2018.2797022</t>
  </si>
  <si>
    <t xml:space="preserve">https://api.crossref.org/works/10.1109/JSTSP.2018.2797022</t>
  </si>
  <si>
    <t xml:space="preserve">L. Boegner, M. Gulati, G. Vanhoy, P. Vallance, B. Comar, S. Kokalj-Filipovic, C. Lennon, R. D. Miller</t>
  </si>
  <si>
    <t xml:space="preserve">Large scale radio frequency signal classification</t>
  </si>
  <si>
    <t xml:space="preserve">2207.09918</t>
  </si>
  <si>
    <t xml:space="preserve">https://arxiv.org/abs/2207.09918</t>
  </si>
  <si>
    <t xml:space="preserve">L. Boegner et al.</t>
  </si>
  <si>
    <t xml:space="preserve">Large scale radio frequency wideband signal detection &amp; recognition</t>
  </si>
  <si>
    <t xml:space="preserve">2211.10335</t>
  </si>
  <si>
    <t xml:space="preserve">https://arxiv.org/abs/2211.10335</t>
  </si>
  <si>
    <t xml:space="preserve">M. Kulin, T. Kazaz, I. Moerman, E. De Poorter</t>
  </si>
  <si>
    <t xml:space="preserve">End-to-end learning from spectrum data: A deep learning approach for wireless signal identification in spectrum monitoring applications</t>
  </si>
  <si>
    <t xml:space="preserve">IEEE Access, vol. 6, pp. 18484-18501</t>
  </si>
  <si>
    <t xml:space="preserve">10.1109/ACCESS.2018.2818794</t>
  </si>
  <si>
    <t xml:space="preserve">1712.03987</t>
  </si>
  <si>
    <t xml:space="preserve">https://doi.org/10.1109/ACCESS.2018.2818794</t>
  </si>
  <si>
    <t xml:space="preserve">https://api.crossref.org/works/10.1109/ACCESS.2018.2818794</t>
  </si>
  <si>
    <t xml:space="preserve">K. Tekbıyık, Ö. Akbunar, A. R. Ekti, A. Görçin, G. K. Kurt</t>
  </si>
  <si>
    <t xml:space="preserve">Spectrum sensing and signal identification with deep learning based on spectral correlation function</t>
  </si>
  <si>
    <t xml:space="preserve">2003.08359</t>
  </si>
  <si>
    <t xml:space="preserve">https://arxiv.org/abs/2003.08359</t>
  </si>
  <si>
    <t xml:space="preserve">R. Wu, C. J. Li, W. Zhang, X. Liu, P. H. W. Leong</t>
  </si>
  <si>
    <t xml:space="preserve">Cyclo-AMC: Automatic modulation classification on Versal utilising cyclostationary features</t>
  </si>
  <si>
    <t xml:space="preserve">Proc. FPT</t>
  </si>
  <si>
    <t xml:space="preserve">http://phwl.org/assets/papers/cycloamc_fpt25.pdf</t>
  </si>
  <si>
    <t xml:space="preserve">T. Oyedare, V. K. Shah, D. J. Jakubisin, J. H. Reed</t>
  </si>
  <si>
    <t xml:space="preserve">Keep it simple: CNN model complexity studies for interference classification tasks</t>
  </si>
  <si>
    <t xml:space="preserve">2303.03326</t>
  </si>
  <si>
    <t xml:space="preserve">https://arxiv.org/abs/2303.03326</t>
  </si>
  <si>
    <t xml:space="preserve">C. Xu, J. Ren, W. Yu, Y. Jin, Z. Cao, X. Wu, W. Jiang</t>
  </si>
  <si>
    <t xml:space="preserve">Time-frequency analysis based deep interference classification for frequency hopping system</t>
  </si>
  <si>
    <t xml:space="preserve">2108.10056</t>
  </si>
  <si>
    <t xml:space="preserve">https://arxiv.org/abs/2108.10056</t>
  </si>
  <si>
    <t xml:space="preserve">Interference suppression using deep learning: Current approaches and open challenges</t>
  </si>
  <si>
    <t xml:space="preserve">2112.08988</t>
  </si>
  <si>
    <t xml:space="preserve">https://arxiv.org/abs/2112.08988</t>
  </si>
  <si>
    <t xml:space="preserve">K. He, X. Zhang, S. Ren, J. Sun</t>
  </si>
  <si>
    <t xml:space="preserve">Deep residual learning for image recognition</t>
  </si>
  <si>
    <t xml:space="preserve">Proc. CVPR</t>
  </si>
  <si>
    <t xml:space="preserve">1512.03385</t>
  </si>
  <si>
    <t xml:space="preserve">https://arxiv.org/abs/1512.03385</t>
  </si>
  <si>
    <t xml:space="preserve">Y. Gong, Y.-A. Chung, J. Glass</t>
  </si>
  <si>
    <t xml:space="preserve">AST: Audio spectrogram transformer</t>
  </si>
  <si>
    <t xml:space="preserve">Proc. Interspeech</t>
  </si>
  <si>
    <t xml:space="preserve">2104.01778</t>
  </si>
  <si>
    <t xml:space="preserve">https://arxiv.org/abs/2104.01778</t>
  </si>
  <si>
    <t xml:space="preserve">E. Perez, F. Strub, H. de Vries, V. Dumoulin, A. Courville</t>
  </si>
  <si>
    <t xml:space="preserve">FiLM: Visual reasoning with a general conditioning layer</t>
  </si>
  <si>
    <t xml:space="preserve">Proc. AAAI</t>
  </si>
  <si>
    <t xml:space="preserve">1709.07871</t>
  </si>
  <si>
    <t xml:space="preserve">https://arxiv.org/abs/1709.07871</t>
  </si>
  <si>
    <t xml:space="preserve">A. A. M. Saleh</t>
  </si>
  <si>
    <t xml:space="preserve">Frequency-independent and frequency-dependent nonlinear models of TWT amplifiers</t>
  </si>
  <si>
    <t xml:space="preserve">IEEE Trans. Commun., vol. 29, no. 11, pp. 1715-1720</t>
  </si>
  <si>
    <t xml:space="preserve">1981</t>
  </si>
  <si>
    <t xml:space="preserve">10.1109/TCOM.1981.1094911</t>
  </si>
  <si>
    <t xml:space="preserve">https://doi.org/10.1109/TCOM.1981.1094911</t>
  </si>
  <si>
    <t xml:space="preserve">https://api.crossref.org/works/10.1109/TCOM.1981.1094911</t>
  </si>
  <si>
    <t xml:space="preserve">A. Morello, V. Mignone</t>
  </si>
  <si>
    <t xml:space="preserve">DVB-S2: The second generation standard for satellite broad-band services</t>
  </si>
  <si>
    <t xml:space="preserve">Proc. IEEE, vol. 94, no. 1, pp. 210-227</t>
  </si>
  <si>
    <t xml:space="preserve">2006</t>
  </si>
  <si>
    <t xml:space="preserve">10.1109/JPROC.2005.861013</t>
  </si>
  <si>
    <t xml:space="preserve">https://doi.org/10.1109/JPROC.2005.861013</t>
  </si>
  <si>
    <t xml:space="preserve">https://api.crossref.org/works/10.1109/JPROC.2005.861013</t>
  </si>
  <si>
    <t xml:space="preserve">E. Casini, R. De Gaudenzi, A. Ginesi</t>
  </si>
  <si>
    <t xml:space="preserve">DVB-S2 modem algorithms design and performance over typical satellite channels</t>
  </si>
  <si>
    <t xml:space="preserve">Int. J. Satell. Commun. Netw., vol. 22, no. 3, pp. 281-318</t>
  </si>
  <si>
    <t xml:space="preserve">2004</t>
  </si>
  <si>
    <t xml:space="preserve">10.1002/sat.791</t>
  </si>
  <si>
    <t xml:space="preserve">https://doi.org/10.1002/sat.791</t>
  </si>
  <si>
    <t xml:space="preserve">https://api.crossref.org/works/10.1002/sat.791</t>
  </si>
  <si>
    <t xml:space="preserve">ETSI/DVB</t>
  </si>
  <si>
    <t xml:space="preserve">DVB-S2X implementation guidelines</t>
  </si>
  <si>
    <t xml:space="preserve">TR 102 376-2 (DVB BlueBook A171-2)</t>
  </si>
  <si>
    <t xml:space="preserve">https://dvb.org/wp-content/uploads/2020/02/A171-2_DVB-S2X_Implementation-Guidelines_Draft-TR-102-376-2_v121_Apr-2020.pdf</t>
  </si>
  <si>
    <t xml:space="preserve">B. F. Beidas</t>
  </si>
  <si>
    <t xml:space="preserve">Intermodulation distortion in multicarrier satellite systems: Analysis and turbo Volterra equalization</t>
  </si>
  <si>
    <t xml:space="preserve">IEEE Trans. Commun., vol. 59, no. 6, pp. 1580-1590</t>
  </si>
  <si>
    <t xml:space="preserve">2011</t>
  </si>
  <si>
    <t xml:space="preserve">10.1109/TCOMM.2011.042111.100320</t>
  </si>
  <si>
    <t xml:space="preserve">https://doi.org/10.1109/TCOMM.2011.042111.100320</t>
  </si>
  <si>
    <t xml:space="preserve">https://api.crossref.org/works/10.1109/TCOMM.2011.042111.100320</t>
  </si>
  <si>
    <t xml:space="preserve">M. Allegue-Martínez et al.</t>
  </si>
  <si>
    <t xml:space="preserve">Digital linear pre-compensation technique to enhance predistortion performance in multicarrier DVB-S2 satellite communication systems</t>
  </si>
  <si>
    <t xml:space="preserve">Electron. Lett., vol. 50, no. 13, pp. 957-959</t>
  </si>
  <si>
    <t xml:space="preserve">10.1049/el.2014.1172</t>
  </si>
  <si>
    <t xml:space="preserve">https://doi.org/10.1049/el.2014.1172</t>
  </si>
  <si>
    <t xml:space="preserve">https://api.crossref.org/works/10.1049/el.2014.1172</t>
  </si>
  <si>
    <t xml:space="preserve">A. A. Gözütok, M. M. Nefes, S. Demirel</t>
  </si>
  <si>
    <t xml:space="preserve">NPR and intermodulation distortion modelling of travelling-wave tube amplifier of telecommunication spacecraft</t>
  </si>
  <si>
    <t xml:space="preserve">Proc. 11th Ankara Int. Aerospace Conf. (AIAC-2021-015)</t>
  </si>
  <si>
    <t xml:space="preserve">https://www.researchgate.net/publication/349494998</t>
  </si>
  <si>
    <t xml:space="preserve">simulation study (MATLAB/Simulink, Saleh model), not measurements</t>
  </si>
  <si>
    <t xml:space="preserve">J. C. Fuenzalida, O. Shimbo, W. L. Cook</t>
  </si>
  <si>
    <t xml:space="preserve">Time-domain analysis of intermodulation effects caused by nonlinear amplifiers</t>
  </si>
  <si>
    <t xml:space="preserve">COMSAT Tech. Rev., vol. 3, no. 1, pp. 89-143</t>
  </si>
  <si>
    <t xml:space="preserve">1973</t>
  </si>
  <si>
    <t xml:space="preserve">https://api.crossref.org/works/10.1109/TCOM.1981.1094911 (reference list of [51])</t>
  </si>
  <si>
    <t xml:space="preserve">replaces US patent 10,103,804 (does not support the power-robbing claim); paper exists (COMSAT CTR cumulative index) but its coverage of small-signal suppression is not confirmed from full text</t>
  </si>
  <si>
    <t xml:space="preserve">Y. Luo, A. Jayaprakash, G. Chen, C. Huang, Q. Luo, P. Xiao</t>
  </si>
  <si>
    <t xml:space="preserve">Widely linear augmented extreme learning machine based impairments compensation for satellite communications</t>
  </si>
  <si>
    <t xml:space="preserve">2506.14557</t>
  </si>
  <si>
    <t xml:space="preserve">https://arxiv.org/abs/2506.14557</t>
  </si>
  <si>
    <t xml:space="preserve">X. Sun et al.</t>
  </si>
  <si>
    <t xml:space="preserve">Kernel-FastICA-based nonlinear blind source separation for anti-jamming satellite communications</t>
  </si>
  <si>
    <t xml:space="preserve">Sensors, vol. 25, no. 12, art. 3743</t>
  </si>
  <si>
    <t xml:space="preserve">10.3390/s25123743</t>
  </si>
  <si>
    <t xml:space="preserve">https://doi.org/10.3390/s25123743</t>
  </si>
  <si>
    <t xml:space="preserve">https://api.crossref.org/works/10.3390/s25123743</t>
  </si>
  <si>
    <t xml:space="preserve">Y. Wu, G. D. Singh, M. Beikmirza, L. C. N. de Vreede, M. Alavi, C. Gao</t>
  </si>
  <si>
    <t xml:space="preserve">OpenDPD: An open-source end-to-end learning &amp; benchmarking framework for wideband power amplifier modeling and digital pre-distortion</t>
  </si>
  <si>
    <t xml:space="preserve">Proc. IEEE ISCAS</t>
  </si>
  <si>
    <t xml:space="preserve">2401.08318</t>
  </si>
  <si>
    <t xml:space="preserve">https://arxiv.org/abs/2401.08318</t>
  </si>
  <si>
    <t xml:space="preserve">Y. Wu, A. Li, C. Gao</t>
  </si>
  <si>
    <t xml:space="preserve">OpenDPDv2: A unified learning and optimization framework for neural network digital predistortion</t>
  </si>
  <si>
    <t xml:space="preserve">2507.06849</t>
  </si>
  <si>
    <t xml:space="preserve">https://arxiv.org/abs/2507.06849</t>
  </si>
  <si>
    <t xml:space="preserve">S. Hanna, D. Čabrić</t>
  </si>
  <si>
    <t xml:space="preserve">Deep learning based transmitter identification using power amplifier nonlinearity</t>
  </si>
  <si>
    <t xml:space="preserve">1811.04521</t>
  </si>
  <si>
    <t xml:space="preserve">https://arxiv.org/abs/1811.04521</t>
  </si>
  <si>
    <t xml:space="preserve">A. S. Karasuwa, J. D. Eastment, I. E. Otung</t>
  </si>
  <si>
    <t xml:space="preserve">Cross-polarisation discrimination-induced interference in dual-polarised high-capacity satellite communication systems</t>
  </si>
  <si>
    <t xml:space="preserve">J. Eng., vol. 2016, no. 6, pp. 162-170</t>
  </si>
  <si>
    <t xml:space="preserve">10.1049/joe.2015.0178</t>
  </si>
  <si>
    <t xml:space="preserve">https://doi.org/10.1049/joe.2015.0178</t>
  </si>
  <si>
    <t xml:space="preserve">https://api.crossref.org/works/10.1049/joe.2015.0178</t>
  </si>
  <si>
    <t xml:space="preserve">E. Satorius, T. Jedrey, C. Wang</t>
  </si>
  <si>
    <t xml:space="preserve">Impact of cross-polarization interference on dual polarization communication systems</t>
  </si>
  <si>
    <t xml:space="preserve">IPN Progress Report 42-213, JPL</t>
  </si>
  <si>
    <t xml:space="preserve">https://ipnpr.jpl.nasa.gov/progress_report/42-213/42-213A.pdf</t>
  </si>
  <si>
    <t xml:space="preserve">P. Mo, X. Fan, L. You</t>
  </si>
  <si>
    <t xml:space="preserve">A novel and blind detection scheme for asymmetric PCMA system</t>
  </si>
  <si>
    <t xml:space="preserve">Proc. ICCSNT, pp. 854-857</t>
  </si>
  <si>
    <t xml:space="preserve">2013</t>
  </si>
  <si>
    <t xml:space="preserve">10.1109/ICCSNT.2013.6967240</t>
  </si>
  <si>
    <t xml:space="preserve">https://doi.org/10.1109/ICCSNT.2013.6967240</t>
  </si>
  <si>
    <t xml:space="preserve">https://api.crossref.org/works/10.1109/ICCSNT.2013.6967240</t>
  </si>
  <si>
    <t xml:space="preserve">X. Liu, X. Tao, X. Chen, N. Ge</t>
  </si>
  <si>
    <t xml:space="preserve">Information theory analysis of blind detection for PCMA satellite communication systems</t>
  </si>
  <si>
    <t xml:space="preserve">Proc. IEEE VTC-Fall, pp. 1-5</t>
  </si>
  <si>
    <t xml:space="preserve">10.1109/VTCFall.2013.6692242</t>
  </si>
  <si>
    <t xml:space="preserve">https://doi.org/10.1109/VTCFall.2013.6692242</t>
  </si>
  <si>
    <t xml:space="preserve">https://api.crossref.org/works/10.1109/VTCFall.2013.6692242</t>
  </si>
  <si>
    <t xml:space="preserve">C. Geng, S.-J. Huang, S. Chen</t>
  </si>
  <si>
    <t xml:space="preserve">Recent advances in open set recognition: A survey</t>
  </si>
  <si>
    <t xml:space="preserve">IEEE Trans. Pattern Anal. Mach. Intell., vol. 43, no. 10, pp. 3614-3631</t>
  </si>
  <si>
    <t xml:space="preserve">10.1109/TPAMI.2020.2981604</t>
  </si>
  <si>
    <t xml:space="preserve">1811.08581</t>
  </si>
  <si>
    <t xml:space="preserve">https://doi.org/10.1109/TPAMI.2020.2981604</t>
  </si>
  <si>
    <t xml:space="preserve">https://api.crossref.org/works/10.1109/TPAMI.2020.2981604</t>
  </si>
  <si>
    <t xml:space="preserve">J. Yang, K. Zhou, Y. Li, Z. Liu</t>
  </si>
  <si>
    <t xml:space="preserve">Generalized out-of-distribution detection: A survey</t>
  </si>
  <si>
    <t xml:space="preserve">Int. J. Comput. Vis., vol. 132, no. 12, pp. 5635-5662</t>
  </si>
  <si>
    <t xml:space="preserve">10.1007/s11263-024-02117-4</t>
  </si>
  <si>
    <t xml:space="preserve">2110.11334</t>
  </si>
  <si>
    <t xml:space="preserve">https://doi.org/10.1007/s11263-024-02117-4</t>
  </si>
  <si>
    <t xml:space="preserve">https://api.crossref.org/works/10.1007/s11263-024-02117-4</t>
  </si>
  <si>
    <t xml:space="preserve">D. Hendrycks, K. Gimpel</t>
  </si>
  <si>
    <t xml:space="preserve">A baseline for detecting misclassified and out-of-distribution examples in neural networks</t>
  </si>
  <si>
    <t xml:space="preserve">Proc. ICLR</t>
  </si>
  <si>
    <t xml:space="preserve">1610.02136</t>
  </si>
  <si>
    <t xml:space="preserve">https://arxiv.org/abs/1610.02136</t>
  </si>
  <si>
    <t xml:space="preserve">S. Liang, Y. Li, R. Srikant</t>
  </si>
  <si>
    <t xml:space="preserve">Enhancing the reliability of out-of-distribution image detection in neural networks</t>
  </si>
  <si>
    <t xml:space="preserve">1706.02690</t>
  </si>
  <si>
    <t xml:space="preserve">https://arxiv.org/abs/1706.02690</t>
  </si>
  <si>
    <t xml:space="preserve">W. Liu, X. Wang, J. D. Owens, Y. Li</t>
  </si>
  <si>
    <t xml:space="preserve">Energy-based out-of-distribution detection</t>
  </si>
  <si>
    <t xml:space="preserve">Proc. NeurIPS</t>
  </si>
  <si>
    <t xml:space="preserve">2010.03759</t>
  </si>
  <si>
    <t xml:space="preserve">https://arxiv.org/abs/2010.03759</t>
  </si>
  <si>
    <t xml:space="preserve">K. Lee, K. Lee, H. Lee, J. Shin</t>
  </si>
  <si>
    <t xml:space="preserve">A simple unified framework for detecting out-of-distribution samples and adversarial attacks</t>
  </si>
  <si>
    <t xml:space="preserve">1807.03888</t>
  </si>
  <si>
    <t xml:space="preserve">https://arxiv.org/abs/1807.03888</t>
  </si>
  <si>
    <t xml:space="preserve">A. Bendale, T. Boult</t>
  </si>
  <si>
    <t xml:space="preserve">Towards open set deep networks</t>
  </si>
  <si>
    <t xml:space="preserve">1511.06233</t>
  </si>
  <si>
    <t xml:space="preserve">https://arxiv.org/abs/1511.06233</t>
  </si>
  <si>
    <t xml:space="preserve">G. Chen, P. Peng, X. Wang, Y. Tian</t>
  </si>
  <si>
    <t xml:space="preserve">Adversarial reciprocal points learning for open set recognition</t>
  </si>
  <si>
    <t xml:space="preserve">IEEE Trans. Pattern Anal. Mach. Intell.</t>
  </si>
  <si>
    <t xml:space="preserve">10.1109/TPAMI.2021.3106743</t>
  </si>
  <si>
    <t xml:space="preserve">2103.00953</t>
  </si>
  <si>
    <t xml:space="preserve">https://doi.org/10.1109/TPAMI.2021.3106743</t>
  </si>
  <si>
    <t xml:space="preserve">https://api.crossref.org/works/10.1109/TPAMI.2021.3106743</t>
  </si>
  <si>
    <t xml:space="preserve">S. Vaze, K. Han, A. Vedaldi, A. Zisserman</t>
  </si>
  <si>
    <t xml:space="preserve">Open-set recognition: A good closed-set classifier is all you need?</t>
  </si>
  <si>
    <t xml:space="preserve">2110.06207</t>
  </si>
  <si>
    <t xml:space="preserve">https://arxiv.org/abs/2110.06207</t>
  </si>
  <si>
    <t xml:space="preserve">A. R. Dhamija, M. Günther, T. E. Boult</t>
  </si>
  <si>
    <t xml:space="preserve">Reducing network agnostophobia</t>
  </si>
  <si>
    <t xml:space="preserve">1811.04110</t>
  </si>
  <si>
    <t xml:space="preserve">https://arxiv.org/abs/1811.04110</t>
  </si>
  <si>
    <t xml:space="preserve">Y. Guo, H. Jiang, J. Wu, J. Zhou</t>
  </si>
  <si>
    <t xml:space="preserve">Open set modulation recognition based on dual-channel LSTM model</t>
  </si>
  <si>
    <t xml:space="preserve">2002.12037</t>
  </si>
  <si>
    <t xml:space="preserve">https://arxiv.org/abs/2002.12037</t>
  </si>
  <si>
    <t xml:space="preserve">Z. Zhang, M. Zhu, J. Liu, Y. Li, S. Wang</t>
  </si>
  <si>
    <t xml:space="preserve">Class information guided reconstruction for automatic modulation open-set recognition</t>
  </si>
  <si>
    <t xml:space="preserve">2312.13023</t>
  </si>
  <si>
    <t xml:space="preserve">https://arxiv.org/abs/2312.13023</t>
  </si>
  <si>
    <t xml:space="preserve">H. Zhang, F. Zhou, Q. Wu, C. Yuen</t>
  </si>
  <si>
    <t xml:space="preserve">FSOS-AMC: Few-shot open-set learning for automatic modulation classification</t>
  </si>
  <si>
    <t xml:space="preserve">2410.10265</t>
  </si>
  <si>
    <t xml:space="preserve">https://arxiv.org/abs/2410.10265</t>
  </si>
  <si>
    <t xml:space="preserve">Y. Yang, S. Zhang, K. Li, Q. Tian, Y. Lin</t>
  </si>
  <si>
    <t xml:space="preserve">Adversarial threats to automatic modulation open set recognition in wireless networks</t>
  </si>
  <si>
    <t xml:space="preserve">2405.05022</t>
  </si>
  <si>
    <t xml:space="preserve">https://arxiv.org/abs/2405.05022</t>
  </si>
  <si>
    <t xml:space="preserve">W. Wang, H. Liao, L. Gan</t>
  </si>
  <si>
    <t xml:space="preserve">Open-set RF fingerprinting via improved prototype learning</t>
  </si>
  <si>
    <t xml:space="preserve">2306.13895</t>
  </si>
  <si>
    <t xml:space="preserve">https://arxiv.org/abs/2306.13895</t>
  </si>
  <si>
    <t xml:space="preserve">S. R. Shebert, B. H. Kirk, R. M. Buehrer</t>
  </si>
  <si>
    <t xml:space="preserve">Open set wireless signal classification: Augmenting deep learning with expert feature classifiers</t>
  </si>
  <si>
    <t xml:space="preserve">2302.03749</t>
  </si>
  <si>
    <t xml:space="preserve">https://arxiv.org/abs/2302.03749</t>
  </si>
  <si>
    <t xml:space="preserve">X. Chen, Z. Zhao, X. Ye, S. Zheng, C. Lou, X. Yang</t>
  </si>
  <si>
    <t xml:space="preserve">Efficient open-set recognition for interference signals based on convolutional prototype learning</t>
  </si>
  <si>
    <t xml:space="preserve">Appl. Sci., vol. 12, no. 9, art. 4380</t>
  </si>
  <si>
    <t xml:space="preserve">10.3390/app12094380</t>
  </si>
  <si>
    <t xml:space="preserve">https://doi.org/10.3390/app12094380</t>
  </si>
  <si>
    <t xml:space="preserve">https://api.crossref.org/works/10.3390/app12094380</t>
  </si>
  <si>
    <t xml:space="preserve">Y. Zhou, S. Shang, X. Song, S. Zhang, T. You et al.</t>
  </si>
  <si>
    <t xml:space="preserve">Intelligent radar jamming recognition in open set environment based on deep learning networks</t>
  </si>
  <si>
    <t xml:space="preserve">Remote Sens., vol. 14, no. 24, art. 6220</t>
  </si>
  <si>
    <t xml:space="preserve">10.3390/rs14246220</t>
  </si>
  <si>
    <t xml:space="preserve">https://doi.org/10.3390/rs14246220</t>
  </si>
  <si>
    <t xml:space="preserve">https://api.crossref.org/works/10.3390/rs14246220</t>
  </si>
  <si>
    <t xml:space="preserve">Y. Xiao, R. Zhang, X. Yu, Y. Jiang</t>
  </si>
  <si>
    <t xml:space="preserve">Open-set recognition of compound jamming signal based on multi-task multi-label learning</t>
  </si>
  <si>
    <t xml:space="preserve">IET Radar Sonar Navig., vol. 18, no. 8, pp. 1235-1246</t>
  </si>
  <si>
    <t xml:space="preserve">10.1049/rsn2.12561</t>
  </si>
  <si>
    <t xml:space="preserve">https://doi.org/10.1049/rsn2.12561</t>
  </si>
  <si>
    <t xml:space="preserve">https://api.crossref.org/works/10.1049/rsn2.12561</t>
  </si>
  <si>
    <t xml:space="preserve">M. Ouyang</t>
  </si>
  <si>
    <t xml:space="preserve">An open-set jamming signal recognition method based on domain-specific network</t>
  </si>
  <si>
    <t xml:space="preserve">IET Commun., vol. 20, no. 1</t>
  </si>
  <si>
    <t xml:space="preserve">10.1049/cmu2.70198</t>
  </si>
  <si>
    <t xml:space="preserve">https://doi.org/10.1049/cmu2.70198</t>
  </si>
  <si>
    <t xml:space="preserve">https://api.crossref.org/works/10.1049/cmu2.70198</t>
  </si>
  <si>
    <t xml:space="preserve">Y. Liu, S. Han, Z. Lin, C. Guo, Q. Zhao, W. Chen, T. Qiu</t>
  </si>
  <si>
    <t xml:space="preserve">An open-set recognition method for active radar jamming signals based on multi-dimensional prototype feature constraints and adversarial reciprocal point learning</t>
  </si>
  <si>
    <t xml:space="preserve">Preprints.org (not peer-reviewed)</t>
  </si>
  <si>
    <t xml:space="preserve">10.20944/preprints202503.2079.v1</t>
  </si>
  <si>
    <t xml:space="preserve">https://doi.org/10.20944/preprints202503.2079.v1</t>
  </si>
  <si>
    <t xml:space="preserve">https://www.preprints.org/manuscript/202503.2079/v1</t>
  </si>
  <si>
    <t xml:space="preserve">L. Henneke, F. Kurth</t>
  </si>
  <si>
    <t xml:space="preserve">Approaching domain generalization with embeddings for robust discrimination and recognition of RF communication signals</t>
  </si>
  <si>
    <t xml:space="preserve">2510.23186</t>
  </si>
  <si>
    <t xml:space="preserve">https://arxiv.org/abs/2510.23186</t>
  </si>
  <si>
    <t xml:space="preserve">A. Bara, L. Bariah, H. Zou, B. Mefgouda, M. Debbah</t>
  </si>
  <si>
    <t xml:space="preserve">RF-Analyzer: Can vision-language models learn RF understanding from synthetic data?</t>
  </si>
  <si>
    <t xml:space="preserve">2605.04676</t>
  </si>
  <si>
    <t xml:space="preserve">https://arxiv.org/abs/2605.04676</t>
  </si>
  <si>
    <t xml:space="preserve">T. Chen, C. Guestrin</t>
  </si>
  <si>
    <t xml:space="preserve">XGBoost: A scalable tree boosting system</t>
  </si>
  <si>
    <t xml:space="preserve">Proc. ACM KDD</t>
  </si>
  <si>
    <t xml:space="preserve">1603.02754</t>
  </si>
  <si>
    <t xml:space="preserve">https://arxiv.org/abs/1603.02754</t>
  </si>
  <si>
    <t xml:space="preserve">SnT SmartSpace</t>
  </si>
  <si>
    <t xml:space="preserve">Satellite on-board interference detection dataset</t>
  </si>
  <si>
    <t xml:space="preserve">dataset (non-commercial research use)</t>
  </si>
  <si>
    <t xml:space="preserve">https://fnr-smartspace-project.uni.lu/satellite-on-board-interference-detection/</t>
  </si>
  <si>
    <t xml:space="preserve">dataset</t>
  </si>
  <si>
    <t xml:space="preserve">NGSO to GSO's users interference dataset</t>
  </si>
  <si>
    <t xml:space="preserve">https://fnr-smartspace-project.uni.lu/ngso-to-gsos-users-interference/</t>
  </si>
  <si>
    <t xml:space="preserve">F. Ott, L. Heublein, N. Raichur, T. Feigl, A. Rügamer</t>
  </si>
  <si>
    <t xml:space="preserve">GNSS interference spectrum highway dataset 1</t>
  </si>
  <si>
    <t xml:space="preserve">IEEE DataPort, CC BY-NC-SA 4.0</t>
  </si>
  <si>
    <t xml:space="preserve">10.21227/xpm9-tt28</t>
  </si>
  <si>
    <t xml:space="preserve">https://doi.org/10.21227/xpm9-tt28</t>
  </si>
  <si>
    <t xml:space="preserve">https://api.datacite.org/dois/10.21227/xpm9-tt28</t>
  </si>
  <si>
    <t xml:space="preserve">licence non-commercial (DataPort page); title per DataPort landing page, DataCite record says "GNSS Spectrum Highway Dataset 1"</t>
  </si>
  <si>
    <t xml:space="preserve">Fraunhofer IIS</t>
  </si>
  <si>
    <t xml:space="preserve">Highway 2, LC Laboratory and Jammertest 2025 GNSS interference datasets</t>
  </si>
  <si>
    <t xml:space="preserve">Zenodo, licence per record</t>
  </si>
  <si>
    <t xml:space="preserve">https://zenodo.org/records/21336653</t>
  </si>
  <si>
    <t xml:space="preserve">Kaynak no</t>
  </si>
  <si>
    <t xml:space="preserve">Önce</t>
  </si>
  <si>
    <t xml:space="preserve">Sonra</t>
  </si>
  <si>
    <t xml:space="preserve">Önem</t>
  </si>
  <si>
    <t xml:space="preserve">Kaynakça</t>
  </si>
  <si>
    <t xml:space="preserve">Yanlış arXiv kimliği 2010.03496 (ilgisiz bir makale)</t>
  </si>
  <si>
    <t xml:space="preserve">arXiv:2010.03759 (Energy-based OOD detection)</t>
  </si>
  <si>
    <t xml:space="preserve">Kritik</t>
  </si>
  <si>
    <t xml:space="preserve">Ana konferans olarak 'ICASSP 2023' yazılmıştı</t>
  </si>
  <si>
    <t xml:space="preserve">ICASSP Workshops (ICASSPW) 2023, doi 10.1109/ICASSPW59220.2023.10193395</t>
  </si>
  <si>
    <t xml:space="preserve">https://api.crossref.org/works?query.bibliographic=CNN-Based+On-Board+Interference+Detection</t>
  </si>
  <si>
    <t xml:space="preserve">Önemli</t>
  </si>
  <si>
    <t xml:space="preserve">IEEE TAES 2024, DOI doğrulanmamış</t>
  </si>
  <si>
    <t xml:space="preserve">IEEE TAES 61(2):1660–1676, 2025, doi 10.1109/TAES.2024.3462662</t>
  </si>
  <si>
    <t xml:space="preserve">İlk yazar 'F. Ortiz' yazılmıştı</t>
  </si>
  <si>
    <t xml:space="preserve">Kaynakça + iddia</t>
  </si>
  <si>
    <t xml:space="preserve">ABD patenti 10,103,804 'power robbing' iddiasını desteklemiyor (konu: spot huzmede taşıyıcı başına güç dağıtımı)</t>
  </si>
  <si>
    <t xml:space="preserve">Fuenzalida, Shimbo &amp; Cook, COMSAT Tech. Rev. 3(1):89–143, 1973</t>
  </si>
  <si>
    <t xml:space="preserve">https://patents.google.com/patent/US10103804B2/en</t>
  </si>
  <si>
    <t xml:space="preserve">Metin iddiası</t>
  </si>
  <si>
    <t xml:space="preserve">'held-out multitone and pulse jamming' kaynakta geçmiyor</t>
  </si>
  <si>
    <t xml:space="preserve">'rejects unknown classes among nine simulated jamming types'</t>
  </si>
  <si>
    <t xml:space="preserve">https://www.mdpi.com/2076-3417/12/9/4380</t>
  </si>
  <si>
    <t xml:space="preserve">Yıl 2014, yazar yok</t>
  </si>
  <si>
    <t xml:space="preserve">P. Mo, X. Fan, L. You, Proc. ICCSNT 2013, doi 10.1109/ICCSNT.2013.6967240</t>
  </si>
  <si>
    <t xml:space="preserve">Küçük</t>
  </si>
  <si>
    <t xml:space="preserve">Başlık ve yazar yoktu ('title to complete')</t>
  </si>
  <si>
    <t xml:space="preserve">H. Yu, R. Zhang, R. Ding, 'Interference recognition based on machine learning for satellite communications'</t>
  </si>
  <si>
    <t xml:space="preserve">Başlık yoktu ('title to complete')</t>
  </si>
  <si>
    <t xml:space="preserve">X. Sun et al., Sensors 25(12):3743, 2025, doi 10.3390/s25123743</t>
  </si>
  <si>
    <t xml:space="preserve">https://pmc.ncbi.nlm.nih.gov/articles/PMC12197282/</t>
  </si>
  <si>
    <t xml:space="preserve">Kısmi başlık, yazar 'JPL'</t>
  </si>
  <si>
    <t xml:space="preserve">E. Satorius, T. Jedrey, C. Wang, IPN PR 42-213, 2018</t>
  </si>
  <si>
    <t xml:space="preserve">Başlıktaki soru işareti eksikti</t>
  </si>
  <si>
    <t xml:space="preserve">'…is all you need?'</t>
  </si>
  <si>
    <t xml:space="preserve">DOI 'to verify'</t>
  </si>
  <si>
    <t xml:space="preserve">Doğrulandı: 10.1109/79.81007, s. 14–36</t>
  </si>
  <si>
    <t xml:space="preserve">Doğrulandı: 10.3390/s23073452</t>
  </si>
  <si>
    <t xml:space="preserve">Doğrulandı: 10.1109/TCOM.1981.1094911, s. 1715–1720</t>
  </si>
  <si>
    <t xml:space="preserve">Başlık 'GNSS interference spectrum highway dataset 1'</t>
  </si>
  <si>
    <t xml:space="preserve">'GNSS spectrum highway dataset 1', F. Ott et al., 2024</t>
  </si>
  <si>
    <t xml:space="preserve">Kısa başlık, yazar yok</t>
  </si>
  <si>
    <t xml:space="preserve">Tam başlık ve 7 yazar, doi 10.20944/preprints202503.2079.v1</t>
  </si>
  <si>
    <t xml:space="preserve">Yalnızca arXiv</t>
  </si>
  <si>
    <t xml:space="preserve">Yayımlanmış sürüm: IJCV 132(12):5635–5662, 2024</t>
  </si>
  <si>
    <t xml:space="preserve">TPAMI 2020</t>
  </si>
  <si>
    <t xml:space="preserve">TPAMI 43(10):3614–3631, 2021</t>
  </si>
  <si>
    <t xml:space="preserve">çoklu</t>
  </si>
  <si>
    <t xml:space="preserve">29 kaynakta yazar alanı boştu</t>
  </si>
  <si>
    <t xml:space="preserve">Tüm yazarlar Crossref / arXiv / yayıncı kaydından eklendi</t>
  </si>
  <si>
    <t xml:space="preserve">refs.json → evidence sütunu</t>
  </si>
  <si>
    <t xml:space="preserve">Yapı</t>
  </si>
  <si>
    <t xml:space="preserve">Karşılaştırma tablosu IEEE ilk-atıf sırasını bozuyordu ([84], [87], [88], [94] erken)</t>
  </si>
  <si>
    <t xml:space="preserve">Tablo Section 8'e taşındı ve Tablo 2 oldu; tanımlanabilirlik tablosu Tablo 1</t>
  </si>
  <si>
    <t xml:space="preserve">litcheck C3</t>
  </si>
  <si>
    <t xml:space="preserve">Gösterim</t>
  </si>
  <si>
    <t xml:space="preserve">α hem CFAR çarpanı hem çevrim frekansı; T hem istatistik hem enerji sıcaklığı</t>
  </si>
  <si>
    <t xml:space="preserve">α_CFAR ve T_E olarak ayrıştırıldı</t>
  </si>
  <si>
    <t xml:space="preserve">Notation tablosu</t>
  </si>
  <si>
    <t xml:space="preserve">Önce (bulgu)</t>
  </si>
  <si>
    <t xml:space="preserve">Sonra (bulgu)</t>
  </si>
  <si>
    <t xml:space="preserve">Kalan uyarı</t>
  </si>
  <si>
    <t xml:space="preserve">C1</t>
  </si>
  <si>
    <t xml:space="preserve">Atıf yapılan her [n] kaynakçada ve manifestte var</t>
  </si>
  <si>
    <t xml:space="preserve">C2</t>
  </si>
  <si>
    <t xml:space="preserve">Kaynakçadaki her kaynağa metinde atıf var</t>
  </si>
  <si>
    <t xml:space="preserve">C3</t>
  </si>
  <si>
    <t xml:space="preserve">Kaynaklar ilk atıf sırasına göre numaralı (IEEE)</t>
  </si>
  <si>
    <t xml:space="preserve">C4</t>
  </si>
  <si>
    <t xml:space="preserve">'to verify', 'to complete', 'TBD' gibi açık işaret kalmadı</t>
  </si>
  <si>
    <t xml:space="preserve">C5</t>
  </si>
  <si>
    <t xml:space="preserve">Manifestte yazar, başlık ve doğrulama durumu (+ kanıt) dolu</t>
  </si>
  <si>
    <t xml:space="preserve">C6</t>
  </si>
  <si>
    <t xml:space="preserve">DOI / arXiv biçimi doğru, tekrarlanan kimlik yok</t>
  </si>
  <si>
    <t xml:space="preserve">C7</t>
  </si>
  <si>
    <t xml:space="preserve">Belgedeki başlık manifest başlığıyla eşleşiyor</t>
  </si>
  <si>
    <t xml:space="preserve">C8</t>
  </si>
  <si>
    <t xml:space="preserve">Şekil ve tablolar 1..k numaralı ve metinde anılıyor</t>
  </si>
  <si>
    <t xml:space="preserve">C9</t>
  </si>
  <si>
    <t xml:space="preserve">Sayısal iddia içeren paragraflar bir kaynağa atıf yapıyor (uyarı)</t>
  </si>
  <si>
    <t xml:space="preserve">C9 numeric claim without a citation in paragraph: For the TWTA of Figure 2 that asymptote is reached only at large back-off, about 20 dB or more. Because its AM…; C9 numeric claim without a citation in paragraph: so at C/I = 20 dB and equal bandwidths the under-carrier raises the power spectral dens</t>
  </si>
  <si>
    <t xml:space="preserve">Toplam</t>
  </si>
  <si>
    <t xml:space="preserve">Kalan uyarılar bu çalışmanın kendi hesaplamaları (Şekil 3 simülasyonu, 0.04 dB).</t>
  </si>
  <si>
    <t xml:space="preserve">Konum</t>
  </si>
  <si>
    <t xml:space="preserve">Sorun</t>
  </si>
  <si>
    <t xml:space="preserve">Öneri</t>
  </si>
  <si>
    <t xml:space="preserve">Uygulanan</t>
  </si>
  <si>
    <t xml:space="preserve">F1</t>
  </si>
  <si>
    <t xml:space="preserve">CRITICAL</t>
  </si>
  <si>
    <t xml:space="preserve">§5 "the DVB-S2X reference channel assumes cross-polar and co-channel contributions to be negligible [54]"; §8 matrix row [54] "Assumed negligible"; C1 "what it omits: cross-polarization"</t>
  </si>
  <si>
    <t xml:space="preserve">Misattribution. TR 102 376-2 has a full cross-polar interference model in clause 4.4.1.3: satellite antenna XPI, depolarization, terminal XPI, and a summary C/I_cross. Only the *rain-depolarization* term is called negligible, at Ku-band with linear polarization. "Negligible co-channel interference" is the title of one VSAT scenario (4.4.2.3.2), not a general assumption.</t>
  </si>
  <si>
    <t xml:space="preserve">https://www.etsi.org/deliver/etsi_tr/102300_102399/10237602/01.01.01_60/tr_10237602v010101p.pdf</t>
  </si>
  <si>
    <t xml:space="preserve">§5: "The DVB-S2X guidelines model cross-polar interference as an aggregate C/I (≈24 dB at Ku-band, 17 dB at Ka-band in deep fade) from antenna XPI and depolarization [54]. They do not model leakage of identifiable carriers from the opposite polarization, which is what recognition needs." Matrix cell: "Aggregate C/I only". C1: replace "cross-polarization" with "carrier-level cross-polar leakage".</t>
  </si>
  <si>
    <t xml:space="preserve">Uygulandı</t>
  </si>
  <si>
    <t xml:space="preserve">F2</t>
  </si>
  <si>
    <t xml:space="preserve">§2 "Calian Decimator [17] and Kratos Monics [2] — all advertise carrier-under-carrier detection… by cancelling the known host carrier"</t>
  </si>
  <si>
    <t xml:space="preserve">[2] (sIRG article) never mentions carrier-under-carrier detection, carrier cancellation or Kratos. Of the vendors, only R&amp;S [15] states that it cancels the host carrier. Integrasys [16] advertises carrier-under-carrier detection but does not say how. The Calian page [17] now redirects to a generic page.</t>
  </si>
  <si>
    <t xml:space="preserve">https://www.microwavejournal.com/articles/18088-tackling-satellite-interference:</t>
  </si>
  <si>
    <t xml:space="preserve">Cite [3] for Monics. Write: "…advertise carrier-under-carrier detection; at least one documents doing so by cancelling the host carrier and inspecting the residual [15], and another supports PCMA carrier cancellation [3]." Replace [17] with an archived or brochure URL.</t>
  </si>
  <si>
    <t xml:space="preserve">Kısmen: Monics için [3] kullanıldı, yöntem cümlesi düzeltildi; [17] bağlantısı değiştirilmedi</t>
  </si>
  <si>
    <t xml:space="preserve">F3</t>
  </si>
  <si>
    <t xml:space="preserve">§4 "Noise power ratio measurements of space TWTAs quantify how much intermodulation fills the band under loading [57]"</t>
  </si>
  <si>
    <t xml:space="preserve">[57] reports MATLAB/Simulink modelling with a Saleh TWTA. It is not a measurement campaign.</t>
  </si>
  <si>
    <t xml:space="preserve">http://aiac.ae.metu.edu.tr/paper.php/AIAC-2021-015</t>
  </si>
  <si>
    <t xml:space="preserve">"Simulated noise-power-ratio tests of a Saleh-modelled space TWTA [57] show…". Add venue: Proc. 11th Ankara Int. Aerospace Conf. (AIAC-2021-015).</t>
  </si>
  <si>
    <t xml:space="preserve">F4</t>
  </si>
  <si>
    <t xml:space="preserve">Ref [94] "IEEE DataPort, doi: 10.21227/xpm9-tt28, CC BY 4.0"</t>
  </si>
  <si>
    <t xml:space="preserve">Wrong licence. The dataset is CC BY-NC-SA 4.0 (non-commercial, share-alike). This matters if an operator ever uses the work commercially.</t>
  </si>
  <si>
    <t xml:space="preserve">https://ieee-dataport.org/documents/gnss-interference-spectrum-highway-dataset-1:</t>
  </si>
  <si>
    <t xml:space="preserve">Fix the licence in the ref and manifest. In §7, write "under Creative Commons licences, some non-commercial". Also check the licences of the [95] Zenodo records.</t>
  </si>
  <si>
    <t xml:space="preserve">F5</t>
  </si>
  <si>
    <t xml:space="preserve">§1 "Even the machine-learning tools that have entered operator workflows still end in a fixed threshold on a deviation score [4]"</t>
  </si>
  <si>
    <t xml:space="preserve">[4] describes a *proposed* system ("Here we propose an automated system…"), not tools already in operator workflows.</t>
  </si>
  <si>
    <t xml:space="preserve">https://arxiv.org/pdf/2007.10110</t>
  </si>
  <si>
    <t xml:space="preserve">"Machine-learning detectors proposed for operator use still end in a fixed threshold on a deviation score [4], [19], [23]."</t>
  </si>
  <si>
    <t xml:space="preserve">F6</t>
  </si>
  <si>
    <t xml:space="preserve">MAJOR</t>
  </si>
  <si>
    <t xml:space="preserve">§3 "None of these studies includes multicarrier loading, amplifier nonlinearity, multiplexer filtering…"; §8 matrix "No" for [6], [18], [19]</t>
  </si>
  <si>
    <t xml:space="preserve">Overclaim. Real operator captures ([6], [18], [19]) have already passed through a real IMUX/TWTA/OMUX; those effects are present, just not controlled or labelled. Agon's testbed adds "non-linear amplifier distortion". So "None" is false, and "No" is misleading for real-data rows.</t>
  </si>
  <si>
    <t xml:space="preserve">https://arxiv.org/html/2606.14147:</t>
  </si>
  <si>
    <t xml:space="preserve">"None of these studies *models or controls* multicarrier loading, amplifier nonlinearity…; where real captures are used, these effects are present but unlabelled and cannot be varied." Matrix cells for [6], [18], [19]: "Implicit (real data, uncontrolled)".</t>
  </si>
  <si>
    <t xml:space="preserve">F7</t>
  </si>
  <si>
    <t xml:space="preserve">§1 "a further 34% of incidents came from unknown sources"; §6 "about a third… could not be identified [1]"</t>
  </si>
  <si>
    <t xml:space="preserve">Non sequitur used as the open-set motivation. [1]'s "unknown sources" are events whose *origin* went unidentified because they were transient. They are not novel *signal classes*, and many could have been CW or ordinary carriers.</t>
  </si>
  <si>
    <t xml:space="preserve">https://www.satellitetoday.com/connectivity/2005/08/01/satellite-operators-target-interference-problem/:</t>
  </si>
  <si>
    <t xml:space="preserve">Motivate open-set recognition with new jamming waveforms [5] and with the catalogue gap. Keep 34% only as "unresolved incidents", and add: "some of these may belong to known classes." Also note the data are 2005 "early trends" (F37).</t>
  </si>
  <si>
    <t xml:space="preserve">F8</t>
  </si>
  <si>
    <t xml:space="preserve">§5 XPD model "Leakage into the co-polar channel is then a scaled copy of z_x"</t>
  </si>
  <si>
    <t xml:space="preserve">The coupling sits *after* the transponders, so only downlink depolarization or station-antenna XPD is modelled. The operationally dominant case cited ([2]: misaligned uplink antennas) leaks on the *uplink*. The leaked carrier then passes through the co-pol IMUX/TWTA, where channelization is often staggered between polarizations. The co-pol leakage is therefore not κ·z_x, and the correlation test meets differing nonlinear distortion and group delay. κ is also assumed real and symmetric.</t>
  </si>
  <si>
    <t xml:space="preserve">[2]: "the obvious one being that the antenna becomes misaligned"; "A well aligned antenna should have greater than 30 dB of rejection… (both transmit and receive)". [54] §4.4.1.3 lists separate satellite, propagation and terminal contributions.</t>
  </si>
  <si>
    <t xml:space="preserve">Model both: x_co ← x_co + κ_u x_x before the IMUX, and y_co = z_co + κ_d z_x + n afterwards, with complex κ_u ≠ κ_d. Rewrite the test sentence: "uplink leakage appears in y_co as a nonlinearly distorted copy of a carrier that is also visible in y_x; a coherence test between channels is then approximate."</t>
  </si>
  <si>
    <t xml:space="preserve">F9</t>
  </si>
  <si>
    <t xml:space="preserve">§5 "is non-zero only at the cycle frequencies α = n/T_s… When the symbol periods differ, S_y^α at α = 1/T_u contains only the under-carrier term… free of the host's much larger power"</t>
  </si>
  <si>
    <t xml:space="preserve">Technically imprecise in four ways. (i) Stationary noise is non-zero at α=0, so the statement holds only for α≠0. (ii) With RRC excess bandwidth β&lt;1, only n=±1 survive, and their strength scales with β. DVB-S2X roll-offs of 0.05–0.20 make the feature weak. (iii) The *expected* SCF is free of the host, but the estimator variance at α=1/T_u scales with S_h(f+α/2)S_h(f−α/2). Detectability is set by spectral coherence (≈ρ times a roll-off factor), and the samples needed scale as 1/coherence². (iv) After the TWTA, host×under-carrier cross-terms and small-signal suppression put host-dependent energy at α=1/T_u ± k/T_h. Also, "only cancellation separates the two" when T_h=T_u ignores frequency offsets and blind PCMA separation [66].</t>
  </si>
  <si>
    <t xml:space="preserve">Gardner [11] standard result: the conjugate/non-conjugate SCF of PAM with excess bandwidth is non-zero only for \</t>
  </si>
  <si>
    <t xml:space="preserve">α\</t>
  </si>
  <si>
    <t xml:space="preserve">Kısmen: SCF paragrafı yeniden yazıldı; gerekli gözlem uzunluğu için sayısal dipnot eklenmedi</t>
  </si>
  <si>
    <t xml:space="preserve">F10</t>
  </si>
  <si>
    <t xml:space="preserve">§4 "carrier-to-intermodulation ratio improves by about 2 dB per dB of back-off… Near saturation the slope flattens"; Fig. 3 "lowers them by about 10 dB rather than 18 dB"</t>
  </si>
  <si>
    <t xml:space="preserve">The 2 dB/dB value is correct only asymptotically. With the paper's own Saleh parameters, AM/PM saturates early (β_φ/β_a ≈ 7.9, knee ≈ 9 dB IBO). The C/IM3 slope stays ≈1 dB/dB from IBO 1 to 16 dB and reaches ≈1.7 only at 25 dB, so the flattening is not just "near saturation". Fig. 3's ≈10 dB is the change in C/IM3. The absolute IM drop is ≈14 dB, against 27 dB small-signal. The §5 identifiability argument relies on "predictable" slopes.</t>
  </si>
  <si>
    <t xml:space="preserve">Own simulation (slope.py, 3 QPSK RRC 0.2, Welch): C/IM3(2f1−f2) = 17.2, 21.2, 26.7, 32.8, 38.2, 46.7 dB at IBO = 1, 5, 10, 16, 20, 25 dB, giving slope 0.85–1.14 dB/dB up to 16 dB. fig.py: IM peaks drop 13.4–14.1 dB absolute and 9.5–10.2 dB relative to carriers, IBO 1→10 dB.</t>
  </si>
  <si>
    <t xml:space="preserve">"Asymptotically (IBO ≳ 20 dB for this TWTA) C/IM3 improves 2 dB/dB; over the operating range 1–16 dB the slope is ≈1 dB/dB because AM/PM saturates early (Fig. 3: C/IM3 changes by ≈10 dB for 9 dB of back-off)." State "relative to the carriers".</t>
  </si>
  <si>
    <t xml:space="preserve">F11</t>
  </si>
  <si>
    <t xml:space="preserve">§5 Table 1 column "Response to IBO"; "overdrive IM is the only one that needs the response to back-off"</t>
  </si>
  <si>
    <t xml:space="preserve">Inconsistent with the method. The recognizer's input is a co/cross/plan 3-channel spectrogram plus a cyclic vector, with no IBO sweep. A monitoring station cannot vary the transponder drive at will and usually does not know uplink IBO. The §7 ablation list (cross-pol, plan, nonlinear-chain, cyclic, CNN/transformer) has no IBO-response ablation, yet the text says "the ablations… test each entry".</t>
  </si>
  <si>
    <t xml:space="preserve">Project spec (3-channel input + cyclic vector); doc §7 ablation list.</t>
  </si>
  <si>
    <t xml:space="preserve">Either add an observable the model actually receives (commanded gain step / ALC state, or temporal sequences across loading changes) plus an ablation, or recast the column as "Plan-predicted IM frequencies" (which uses the plan mask) and drop the IBO requirement.</t>
  </si>
  <si>
    <t xml:space="preserve">F12</t>
  </si>
  <si>
    <t xml:space="preserve">§5 Table rows CW "Cross-pol –", "Plan ○"; Cross-pol leakage "Co-pol ○"</t>
  </si>
  <si>
    <t xml:space="preserve">Rows contradict the text and sources. (a) [2] gives the classic cross-pol case as an FM carrier collapsing to CW on the opposite pol, so CW vs cross-pol CW needs y_x. (b) Telling a CW interferer from a beacon, pilot or plan-predicted IM3 line needs the plan. (c) Leakage is observed in y_co, and the §5 test correlates y_co with y_x, so co-pol is required.</t>
  </si>
  <si>
    <t xml:space="preserve">[2]: "analogue services… collapse back to being un-modulated or a CW carrier… Even with 30 dB of cross pole signal rejection, there can still be sufficient power".</t>
  </si>
  <si>
    <t xml:space="preserve">CW: cross-pol ○ (or ●), plan ●. Cross-pol leakage: co-pol ●. Re-derive the closing sentences of §5 from the corrected table.</t>
  </si>
  <si>
    <t xml:space="preserve">F13</t>
  </si>
  <si>
    <t xml:space="preserve">§5 "share the same row of observables, which is the formal sense in which they may be inseparable"; C2 "has not been done"</t>
  </si>
  <si>
    <t xml:space="preserve">Overclaim. Identical rows in a coarse ●/○/– table show neither non-identifiability nor a "formal" result. Adjacent-satellite carriers also differ in level dynamics, diurnal variation, the adjacent operator's plan and geolocation signatures. "Has not been done" is a first-claim.</t>
  </si>
  <si>
    <t xml:space="preserve">Logic. §5 itself says "We found no paper…".</t>
  </si>
  <si>
    <t xml:space="preserve">"…which suggests, but does not prove, that they may be inseparable from a single downlink snapshot; C2 tests this empirically (confusion between the two classes)." C2: "We found no prior mapping of…".</t>
  </si>
  <si>
    <t xml:space="preserve">F14</t>
  </si>
  <si>
    <t xml:space="preserve">§7 "Δ_payload(c) = M(f_full; D_c) − M(f_lin; D_c)"; "Plotted against the distance between c and the training conditions"</t>
  </si>
  <si>
    <t xml:space="preserve">(i) Circularity: D_c is drawn from the same simulator as f_full's training data, so Δ measures simulator self-consistency, not operational value. (ii) For f_lin the "training IBO" is undefined, so the x-axis is undefined for one of the two terms. (iii) "shows how the value… grows" presupposes the result.</t>
  </si>
  <si>
    <t xml:space="preserve">Definition as written.</t>
  </si>
  <si>
    <t xml:space="preserve">Define two quantities: Δ_payload(c) on full-chain data, and G(c) = M(f_full; D_c) as a function of \</t>
  </si>
  <si>
    <t xml:space="preserve">F15</t>
  </si>
  <si>
    <t xml:space="preserve">§8 matrix column "Unknown-class rejection" = "No" for [8], [9], [18], [19], [6], [21]–[23]</t>
  </si>
  <si>
    <t xml:space="preserve">Misleading. Anomaly detectors flag *any* deviation, including unseen interferers, by construction (§6 says so: "flag deviations but cannot name known causes"). The column inflates novelty.</t>
  </si>
  <si>
    <t xml:space="preserve">§6 of the doc itself; [23] "trained only with the expected GSO signal".</t>
  </si>
  <si>
    <t xml:space="preserve">Split into "Detects unseen interferers" (Yes for anomaly detectors) and "Classifies known + rejects unknown" (No).</t>
  </si>
  <si>
    <t xml:space="preserve">F16</t>
  </si>
  <si>
    <t xml:space="preserve">C3 "No study measures how much a recognizer trained without the transponder chain loses…"</t>
  </si>
  <si>
    <t xml:space="preserve">Overclaim. Sim-to-real loss behind real RF hardware has been measured for RF classifiers ([39]: about 7% loss synthetic→OTA). Agon [24] reports zero-shot cross-dataset results including a testbed with amplifier nonlinearity.</t>
  </si>
  <si>
    <t xml:space="preserve">[39] arXiv 1712.04578: "datasets with (in our case) a loss of around 7% accuracy"; [24] cross-dataset/testbed.</t>
  </si>
  <si>
    <t xml:space="preserve">"We found no interference-recognition study that isolates the contribution of the transponder chain (TWTA, IMUX/OMUX, multicarrier loading) to this loss…".</t>
  </si>
  <si>
    <t xml:space="preserve">F17</t>
  </si>
  <si>
    <t xml:space="preserve">§4 uplink model "x(t) = Σ… + Σ i_m(t) + n_u(t)"</t>
  </si>
  <si>
    <t xml:space="preserve">All interferers enter before the IMUX. Downlink-entry interference never passes through the TWTA: adjacent-satellite signal received by the monitoring antenna, terrestrial C-band 5G/BWA (cited in [2]) and sun outage. The ASI class therefore has two physically different paths, and a model trained only on the uplink path may learn "every unexpected carrier carries TWTA signatures".</t>
  </si>
  <si>
    <t xml:space="preserve">[2] "Terrestrial Interference… 3.4 to 4.2 GHz… used terrestrially"; ASI on downlink is standard.</t>
  </si>
  <si>
    <t xml:space="preserve">Add a downlink interferer term: y = h_OMUX * G{h_IMUX * x} + Σ i_d(t) + n_d. Label the ASI path (uplink or downlink) in the generator metadata.</t>
  </si>
  <si>
    <t xml:space="preserve">F18</t>
  </si>
  <si>
    <t xml:space="preserve">Class design (§5, §6); [25] and [86] cited without comment</t>
  </si>
  <si>
    <t xml:space="preserve">Missing. Co-occurring interference (for example CW plus cross-pol during a fade) is not discussed. The single-label 8-class design and the open-set rejector will treat compound events as unknown or misclassify them. The cited works handle this explicitly: [25] adds 10 two-interferer "coexistence" classes, and [86] is multi-label open-set.</t>
  </si>
  <si>
    <t xml:space="preserve">https://dl.acm.org/doi/pdf/10.1145/3231884.3231901:</t>
  </si>
  <si>
    <t xml:space="preserve">Add a paragraph in §6 and a limitation in §8. Either restrict scenarios to one event per frame (stated as a limitation) or adopt a multi-label head plus open-set score.</t>
  </si>
  <si>
    <t xml:space="preserve">F19</t>
  </si>
  <si>
    <t xml:space="preserve">MINOR</t>
  </si>
  <si>
    <t xml:space="preserve">Planned Table 1, row [94] "Ott et al. [94] … 97.66% baseline accuracy"</t>
  </si>
  <si>
    <t xml:space="preserve">[94] is a dataset record. The figure appears there as "Our baseline methods achieve an accuracy of 97.66%", and the record links [34] as the associated paper.</t>
  </si>
  <si>
    <t xml:space="preserve">DataPort page (see F4).</t>
  </si>
  <si>
    <t xml:space="preserve">"Ott et al. [34], [94]"; "97.66% (dataset baseline)".</t>
  </si>
  <si>
    <t xml:space="preserve">F20</t>
  </si>
  <si>
    <t xml:space="preserve">§3 "cyclostationary features improve the generalization of deep modulation classifiers [44]"</t>
  </si>
  <si>
    <t xml:space="preserve">Secondary citation. [44] only restates prior work ("Recently, it has been shown…") and is itself an FPGA accelerator paper.</t>
  </si>
  <si>
    <t xml:space="preserve">Cite the primary CSPB.ML (Spooner/Snoap/Popescu) cyclic-cumulant generalization papers (verify exact refs), and keep [44] for the low-cost implementation.</t>
  </si>
  <si>
    <t xml:space="preserve">Kısmen: [44] doğru nitelendirildi; birincil CSPB.ML kaynakları eklenmedi (yeni numara IEEE sırasını bozar)</t>
  </si>
  <si>
    <t xml:space="preserve">F21</t>
  </si>
  <si>
    <t xml:space="preserve">§3 "improved detection accuracy over an energy detector by up to 31.23%"; planned Table 1 row [23]</t>
  </si>
  <si>
    <t xml:space="preserve">The source compares TrID with "the other models as well as the traditional ED". The baseline behind 31.23% is not identified, and it is not stated whether the value is relative or in percentage points.</t>
  </si>
  <si>
    <t xml:space="preserve">https://doi.org/10.1109/tmlcn.2024.3418933</t>
  </si>
  <si>
    <t xml:space="preserve">"…by up to 31.23% in accuracy over the compared autoencoder models and an energy detector [23]".</t>
  </si>
  <si>
    <t xml:space="preserve">F22</t>
  </si>
  <si>
    <t xml:space="preserve">Planned Table 1 row [22] "Up to 11% higher detection probability"</t>
  </si>
  <si>
    <t xml:space="preserve">It is 11 percentage points of recall (89.94% vs 78.93%), not 11% relative.</t>
  </si>
  <si>
    <t xml:space="preserve">https://orbilu.uni.lu/bitstream/10993/60597/1/Moatssim__ICC__Final.pdf</t>
  </si>
  <si>
    <t xml:space="preserve">"≈11 percentage points higher detection probability (recall) than ED".</t>
  </si>
  <si>
    <t xml:space="preserve">F23</t>
  </si>
  <si>
    <t xml:space="preserve">Planned Table 1 row [6] "Binary detection, autoencoder… than the fixed-threshold baseline"; §3 "autoencoder… with Eutelsat under ESA's ARTES"</t>
  </si>
  <si>
    <t xml:space="preserve">The abstract says only "compared to other approaches". Architecture, baseline and ARTES funding could not be confirmed (full text not retrievable). The Eutelsat link comes only from an author affiliation, and ARTES funding is stated in [4], not confirmed for [6].</t>
  </si>
  <si>
    <t xml:space="preserve">https://doi.org/10.1109/mcom.001.2000367:</t>
  </si>
  <si>
    <t xml:space="preserve">Verify against the full text (Zenodo 4705117). Until then: "44% lower false-detection probability than the compared approaches".</t>
  </si>
  <si>
    <t xml:space="preserve">F24</t>
  </si>
  <si>
    <t xml:space="preserve">§3 "separate single-tone, narrowband, broadband-noise, pulse and sweep interference in simulated AWGN channels [25]–[27]"; §8 "Simulated AWGN"</t>
  </si>
  <si>
    <t xml:space="preserve">Matches [27] only. [25] uses audio, narrowband, swept, rectangular-pulse and spread-spectrum interference plus two-interferer combinations. [26] describes a hardware acquisition chain (broadband receiver, FPGA), so "simulated AWGN" is not supported for it.</t>
  </si>
  <si>
    <t xml:space="preserve">https://doi.org/10.1109/acsat63853.2024.10823708</t>
  </si>
  <si>
    <t xml:space="preserve">"…classify five to fifteen interference types (tones, narrowband, sweep, pulse, noise, spread-spectrum, and pairwise combinations [25]) mostly in simulated AWGN". Matrix: "Simulated AWGN / unclear [26]".</t>
  </si>
  <si>
    <t xml:space="preserve">F25</t>
  </si>
  <si>
    <t xml:space="preserve">§5 "when a feed is misaligned, when rain depolarization reduces… XPD… [64], [65]"</t>
  </si>
  <si>
    <t xml:space="preserve">[64] covers rain/ice depolarization only. Feed misalignment is supported by [2], not [64].</t>
  </si>
  <si>
    <t xml:space="preserve">https://doi.org/10.1049/joe.2015.0178.</t>
  </si>
  <si>
    <t xml:space="preserve">Add [2] for misalignment and [54] §4.4.1.3 for the XPI/XPD budget.</t>
  </si>
  <si>
    <t xml:space="preserve">F26</t>
  </si>
  <si>
    <t xml:space="preserve">§4 "learned impairment compensation over TWTA and multiplexer models [59]"</t>
  </si>
  <si>
    <t xml:space="preserve">[59] simulates ESA TWTA data and phase noise. IMUX/OMUX are described but not in the channel equations.</t>
  </si>
  <si>
    <t xml:space="preserve">arXiv 2506.14557 (WebFetch): "IMUX/OMUX… do not appear in the baseband channel equations".</t>
  </si>
  <si>
    <t xml:space="preserve">"…over TWTA and phase-noise models [59]".</t>
  </si>
  <si>
    <t xml:space="preserve">F27</t>
  </si>
  <si>
    <t xml:space="preserve">§3 "such models can run on space-grade AI accelerators [28]"</t>
  </si>
  <si>
    <t xml:space="preserve">[28] contrasts AI accelerators with "legacy, radiation-tolerant, space-grade processors" and surveys next-generation hardware.</t>
  </si>
  <si>
    <t xml:space="preserve">https://www.mdpi.com/2226-4310/10/2/101</t>
  </si>
  <si>
    <t xml:space="preserve">"…can run on candidate on-board AI accelerators [28]".</t>
  </si>
  <si>
    <t xml:space="preserve">F28</t>
  </si>
  <si>
    <t xml:space="preserve">§4 "a multicarrier scenario in which six carriers share one amplifier [54]"</t>
  </si>
  <si>
    <t xml:space="preserve">Could not be verified. The DTH model in [54] is single carrier per TWTA (the IMUX removes adjacent carriers). The Ka multi-spot scenario uses "two carriers per TWTA". The 4.4.2.3.2 body text was not retrievable.</t>
  </si>
  <si>
    <t xml:space="preserve">ETSI TR 102 376-2 §4.4.1.0: "focused on single carrier per transponder operations"; §4.4.2.1.2.1: "two carriers per TWTA".</t>
  </si>
  <si>
    <t xml:space="preserve">Quote the clause and number or drop "six". Also cite TR 102 376-1 (DVB-S2 guidelines, Annex H) as the origin of the IMUX/TWTA/OMUX reference channel; [56] cites it that way.</t>
  </si>
  <si>
    <t xml:space="preserve">Kısmen: "iki taşıyıcı" olarak düzeltildi; TR 102 376-1 eklenmedi</t>
  </si>
  <si>
    <t xml:space="preserve">F29</t>
  </si>
  <si>
    <t xml:space="preserve">§7 "Detection probability… plotted against carrier-to-interference ratio, is the standard figure of merit in [8], [9], [23]"</t>
  </si>
  <si>
    <t xml:space="preserve">[23] plots P_D against INR and off-axis angle, and [9] uses ISNR. C/I is not their axis.</t>
  </si>
  <si>
    <t xml:space="preserve">TMLCN PDF: "probability of detection versus the INR values"; [9] abstract "interference to signal and noise ratio (ISNR)".</t>
  </si>
  <si>
    <t xml:space="preserve">"…against interference power (INR/ISNR)…". Say that this paper uses C/I and give the conversion.</t>
  </si>
  <si>
    <t xml:space="preserve">F30</t>
  </si>
  <si>
    <t xml:space="preserve">§2 "α = N_r(P_FA^(−1/N_r) − 1)"</t>
  </si>
  <si>
    <t xml:space="preserve">The formula is correct (verified numerically), but only for single-look exponential cells and homogeneous, carrier-free reference cells. Welch-averaged PSD and spectrogram cells are Gamma(L), and in a loaded transponder the reference cells straddle carriers.</t>
  </si>
  <si>
    <t xml:space="preserve">P_FA = (1+α/N_r)^−N_r inverts exactly (fig.py). Gamma(L) case: P_FA = Σ_{k=0}^{L−1} C(N_rL+k−1,k)(α/N_r)^k(1+α/N_r)^{−(N_rL+k)}.</t>
  </si>
  <si>
    <t xml:space="preserve">Add "for single-look periodogram bins". Give the L-look expression or say the baseline runs on the plan-masked residual.</t>
  </si>
  <si>
    <t xml:space="preserve">F31</t>
  </si>
  <si>
    <t xml:space="preserve">Planned notation table + body</t>
  </si>
  <si>
    <t xml:space="preserve">Symbol clashes: K = carriers (§4) and known classes (§7); f_k = carrier frequency and logits; M = number of interferers and metric; c = IM3 constant and test condition; z = transponder outputs and embedding; α = CFAR scale, cycle frequency and (subscripted) Saleh parameter; T = detection statistic, energy temperature, SCF observation time and (subscripted) symbol periods; S = score, PSD and SCF; γ = thresholds. Wrong units: S_y^α is W/Hz, not "–"; T (detection statistic) has power units; A(r) and x(t) are in Saleh-normalized units, not V. Missing: r, u(t), r_sat, s_h, s_u, T_u, T_h, 𝒟_K, 𝒟_U, ℋ0/ℋ1, Prec_k/Rec_k, ℛ_i, β (roll-off).</t>
  </si>
  <si>
    <t xml:space="preserve">Doc §§2–7.</t>
  </si>
  <si>
    <t xml:space="preserve">Rename: classes C (not K); logits g_k(x); interferer count M_I; metric 𝓜; condition ω; embedding e; CFAR scale η; cycle frequency stays α; temperature τ_E; observation window T_obs; detection statistic Λ. Fix the units and add the missing rows.</t>
  </si>
  <si>
    <t xml:space="preserve">F32</t>
  </si>
  <si>
    <t xml:space="preserve">Planned edit "[58] replaced… Fuenzalida, Shimbo &amp; Cook, COMSAT Tech. Rev. 3(1), 1973"; manifest [58] type "patent"</t>
  </si>
  <si>
    <t xml:space="preserve">The paper exists (CTR cumulative index, pp. 89–143), but whether it covers power robbing or weak-carrier suppression could not be confirmed. The manifest type "patent" is wrong.</t>
  </si>
  <si>
    <t xml:space="preserve">https://www.comsatlegacy.com/COMSAT%20Technical%20Review/CTR,%20Cumul.%20Index,%201971-1992.PDF</t>
  </si>
  <si>
    <t xml:space="preserve">Set type "article". Before citing, confirm the suppression or power-robbing content. Consider O. Shimbo, Proc. IEEE 1971 (multicarrier TWT effects; verify) as a direct source on small-signal suppression.</t>
  </si>
  <si>
    <t xml:space="preserve">Kısmen: tür "article" yapıldı; makalenin zayıf sinyal bastırmayı kapsadığı tam metinden doğrulanmadı (açık madde)</t>
  </si>
  <si>
    <t xml:space="preserve">F33</t>
  </si>
  <si>
    <t xml:space="preserve">Manifest/doc bibliographic spot-checks</t>
  </si>
  <si>
    <t xml:space="preserve">[25] venue is ICMLT 2018 (Jinan), not "ICCSP 2018". [94] title is "GNSS Interference Spectrum Highway Dataset 1" (the doc is right, the manifest is wrong), and DataPort lists no T. Feigl. Doc [20] says "ICASSP", but the DOI is ICASSP Workshops. Doc [38] says 2024, but the paper is vol. 61, 2025. Doc [32] lacks DOI 10.33012/2022.18586.</t>
  </si>
  <si>
    <t xml:space="preserve">Patch refs.json and the doc entries, then rerun litcheck.</t>
  </si>
  <si>
    <t xml:space="preserve">F34</t>
  </si>
  <si>
    <t xml:space="preserve">§2 "showed that the cancellation step is what makes low-power interference detectable at all"</t>
  </si>
  <si>
    <t xml:space="preserve">Overstated. [9] says conventional energy detection "faces challenges" for weak interference because of noise and signal-power uncertainty and sample count.</t>
  </si>
  <si>
    <t xml:space="preserve">Orbilu PDF of [9] (via Exa): "it faces challenges for the detection of weak interference because… the ED is much more sensitive to the noise and desired signal power uncertainties".</t>
  </si>
  <si>
    <t xml:space="preserve">"…showed that cancellation substantially improves detection of low-power interference under power uncertainty".</t>
  </si>
  <si>
    <t xml:space="preserve">F35</t>
  </si>
  <si>
    <t xml:space="preserve">§5 "raises the power spectral density by only about 0.04 dB"</t>
  </si>
  <si>
    <t xml:space="preserve">The arithmetic is right (10log10 1.01 = 0.043 dB), but relative to S_h with N0 ignored; including N0 makes it smaller. The argument also ignores TWTA small-signal suppression of the weak under-carrier near saturation, up to ≈6 dB for limiter-like operation (classic result), which makes things worse.</t>
  </si>
  <si>
    <t xml:space="preserve">fig.py.</t>
  </si>
  <si>
    <t xml:space="preserve">"…by ≤0.04 dB (less once noise is included), and near saturation the TWTA further suppresses the weaker carrier."</t>
  </si>
  <si>
    <t xml:space="preserve">F36</t>
  </si>
  <si>
    <t xml:space="preserve">§2 "The most developed line of work places a monitoring unit on board the satellite"</t>
  </si>
  <si>
    <t xml:space="preserve">Unsupported ranking.</t>
  </si>
  <si>
    <t xml:space="preserve">"One well-developed line of work…".</t>
  </si>
  <si>
    <t xml:space="preserve">F37</t>
  </si>
  <si>
    <t xml:space="preserve">§1 SUIRG figures</t>
  </si>
  <si>
    <t xml:space="preserve">These are 2005 "early trends" from a database a year old. Fine as motivation, but say so.</t>
  </si>
  <si>
    <t xml:space="preserve">[1]: "The early trends, covering 3,650 reported incidents since the launch of the database".</t>
  </si>
  <si>
    <t xml:space="preserve">"Early SUIRG data (2005)…". Add [4], [5] to the §8 list of industry sources.</t>
  </si>
  <si>
    <t xml:space="preserve">F38</t>
  </si>
  <si>
    <t xml:space="preserve">§2 "DVB-CID metacarrier embeds a transmitter identity 27.5 dB below the host carrier's spectral density [14]"</t>
  </si>
  <si>
    <t xml:space="preserve">Verified, but [14] is a trade article, and [2] gives ≈22 dB for the Comtech MetaCarrier.</t>
  </si>
  <si>
    <t xml:space="preserve">https://www.satellitetoday.com/technology/2014/03/26/preventing-adjacent-satellite-interference/:</t>
  </si>
  <si>
    <t xml:space="preserve">Cite the DVB-CID specification (ETSI TS 103 129) as the primary source.</t>
  </si>
  <si>
    <t xml:space="preserve">Uygulanmadı: DVB-CID birincil spesifikasyonu (ETSI TS 103 129) yeni kaynak gerektiriyor (açık madde)</t>
  </si>
  <si>
    <t xml:space="preserve">F39</t>
  </si>
  <si>
    <t xml:space="preserve">§7 "transponder bandwidths (36 MHz and 72 MHz)" held out</t>
  </si>
  <si>
    <t xml:space="preserve">With two values, holding one out leaves a single training bandwidth. No trend can be estimated and the result confounds bandwidth with loading.</t>
  </si>
  <si>
    <t xml:space="preserve">Use ≥3 bandwidths (e.g., 27/36/54/72 MHz), or call it a single transfer test.</t>
  </si>
  <si>
    <t xml:space="preserve">F40</t>
  </si>
  <si>
    <t xml:space="preserve">§7 macro-F1 "rare classes such as carrier-under-carrier"</t>
  </si>
  <si>
    <t xml:space="preserve">In a simulated, balanced dataset rarity is a design choice. In the open-set setting the text does not say how "unknown" predictions on known samples count.</t>
  </si>
  <si>
    <t xml:space="preserve">State that rejected known samples count as false negatives for recall, and drop "rare" or justify it with operator priors.</t>
  </si>
  <si>
    <t xml:space="preserve">F41</t>
  </si>
  <si>
    <t xml:space="preserve">Planned Table 1 rows [19], [24], [87], [88]</t>
  </si>
  <si>
    <t xml:space="preserve">[19] interference was "artificially… added" to real spectra, not purely "Real captures". [24]'s NGSO–NGSO set is the authors' own simulation (not public), and Agon also has a modulation-classification head. [87] gives closed-set accuracy only and does not say the data are simulated. [88] is a non-peer-reviewed preprint.</t>
  </si>
  <si>
    <t xml:space="preserve">[19] arXiv PDF; [24] arXiv HTML; [87] Wiley abstract; [88] preprints.org.</t>
  </si>
  <si>
    <t xml:space="preserve">Fix the cells. Add a "Metric" column and an open-set metric for [87] if one is reported. Mark [88] "(preprint)".</t>
  </si>
  <si>
    <t xml:space="preserve">Kısmen: [19], [24], [88] düzeltildi; [87] için ayrı metrik sütunu eklenmedi</t>
  </si>
  <si>
    <t xml:space="preserve">F42</t>
  </si>
  <si>
    <t xml:space="preserve">§4 bent-pipe model</t>
  </si>
  <si>
    <t xml:space="preserve">Satellite LO phase noise and frequency translation, which are common to all carriers in a transponder, are missing. θ_k is per-carrier uplink phase noise only, and the monitoring receiver chain (LNB phase noise, station XPD) is absent. The project brief mentions receiver phase noise.</t>
  </si>
  <si>
    <t xml:space="preserve">Project instructions; [54] phase-noise masks.</t>
  </si>
  <si>
    <t xml:space="preserve">Add θ_sat(t) applied to the IMUX input and a station term. Say which mask is used.</t>
  </si>
  <si>
    <t xml:space="preserve">Kısmen: uydu LO faz gürültüsü eklendi; yer istasyonu terimi eklenmedi</t>
  </si>
  <si>
    <t xml:space="preserve">F43</t>
  </si>
  <si>
    <t xml:space="preserve">§4 IBO definition / Fig. 2</t>
  </si>
  <si>
    <t xml:space="preserve">For multicarrier operation, IBO must be defined on total mean input power relative to single-carrier saturation. Fig. 2's compression values use 20log10(1+β_a r²), a voltage-gain ratio, which is correct but unstated.</t>
  </si>
  <si>
    <t xml:space="preserve">fig.py: compression 0.83/5.08 dB and phase 11.1°/21.7° at IBO 10/1 dB reproduce the caption.</t>
  </si>
  <si>
    <t xml:space="preserve">State both conventions in the caption.</t>
  </si>
  <si>
    <t xml:space="preserve">F44</t>
  </si>
  <si>
    <t xml:space="preserve">§6 OSR jamming coverage</t>
  </si>
  <si>
    <t xml:space="preserve">TAES-relevant work is missing: H. Zhou et al., "A sustainable learning method for radar jamming recognition based on open set," IEEE TAES 2025, doi 10.1109/TAES.2025.3573297 (OpenMax + incremental learning).</t>
  </si>
  <si>
    <t xml:space="preserve">Found via Exa search (doi.org/10.1109/taes.2025.3573297).</t>
  </si>
  <si>
    <t xml:space="preserve">Add it next to [85].</t>
  </si>
  <si>
    <t xml:space="preserve">Uygulanmadı: IEEE TAES 2025 open-set radar jamming makalesi yeni kaynak gerektiriyor (açık madde)</t>
  </si>
  <si>
    <t xml:space="preserve">F45</t>
  </si>
  <si>
    <t xml:space="preserve">§6 CCR definition</t>
  </si>
  <si>
    <t xml:space="preserve">"ŷ(x) = y, S(x) ≥ τ" is redundant because ŷ already returns "unknown" below τ. This is harmless but a reviewer will notice.</t>
  </si>
  <si>
    <t xml:space="preserve">Use CCR(τ) = \</t>
  </si>
  <si>
    <t xml:space="preserve">F46</t>
  </si>
  <si>
    <t xml:space="preserve">§7 "calibration error"</t>
  </si>
  <si>
    <t xml:space="preserve">No metric or citation is given.</t>
  </si>
  <si>
    <t xml:space="preserve">Name ECE (with binning) and cite.</t>
  </si>
  <si>
    <t xml:space="preserve">Kısmen: ECE adlandırıldı; kaynak eklenmedi</t>
  </si>
  <si>
    <t xml:space="preserve">Görev</t>
  </si>
  <si>
    <t xml:space="preserve">Kaynak doğrulama betiğini kur</t>
  </si>
  <si>
    <t xml:space="preserve">95 kaynağı doğrula ve tamamla</t>
  </si>
  <si>
    <t xml:space="preserve">Gösterim (Notation) tablosu ekle</t>
  </si>
  <si>
    <t xml:space="preserve">Önceki sonuçların karşılaştırma tablosu</t>
  </si>
  <si>
    <t xml:space="preserve">Bağımsız denetim ve düzeltmeler</t>
  </si>
  <si>
    <t xml:space="preserve">Bu Excel envanteri</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</si>
</sst>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name val="Arial"/>
      <family val="0"/>
      <charset val="1"/>
    </font>
    <font>
      <b val="true"/>
      <sz val="10"/>
      <name val="Arial"/>
      <family val="0"/>
      <charset val="1"/>
    </font>
    <font>
      <u val="single"/>
      <sz val="10"/>
      <color rgb="FF1F4E9E"/>
      <name val="Arial"/>
      <family val="0"/>
      <charset val="1"/>
    </font>
    <font>
      <sz val="10"/>
      <name val="Arial"/>
      <family val="0"/>
      <charset val="1"/>
    </font>
    <font>
      <b val="true"/>
      <sz val="11"/>
      <color rgb="FF1F3864"/>
      <name val="Arial"/>
      <family val="0"/>
      <charset val="1"/>
    </font>
    <font>
      <b val="true"/>
      <sz val="11"/>
      <color rgb="FFFFFFFF"/>
      <name val="Arial"/>
      <family val="0"/>
      <charset val="1"/>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5FA"/>
        <bgColor rgb="FFFFFFFF"/>
      </patternFill>
    </fill>
  </fills>
  <borders count="2">
    <border diagonalUp="false" diagonalDown="false">
      <left/>
      <right/>
      <top/>
      <bottom/>
      <diagonal/>
    </border>
    <border diagonalUp="false" diagonalDown="false">
      <left/>
      <right/>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1F4E9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A"/>
      <rgbColor rgb="FFCCFFFF"/>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1F4E9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AjanlarTbl" displayName="AjanlarTbl" ref="A1:F3" headerRowCount="1" totalsRowCount="0" totalsRowShown="0">
  <autoFilter ref="A1:F3"/>
  <tableColumns count="6">
    <tableColumn id="1" name="Ajan / görev"/>
    <tableColumn id="2" name="Kimlik"/>
    <tableColumn id="3" name="Durum"/>
    <tableColumn id="4" name="Görev tanımı"/>
    <tableColumn id="5" name="Çıktı"/>
    <tableColumn id="6" name="Ne zaman"/>
  </tableColumns>
</table>
</file>

<file path=xl/tables/table2.xml><?xml version="1.0" encoding="utf-8"?>
<table xmlns="http://schemas.openxmlformats.org/spreadsheetml/2006/main" id="2" name="AraçlarTbl" displayName="AraçlarTbl" ref="A1:C12" headerRowCount="1" totalsRowCount="0" totalsRowShown="0">
  <autoFilter ref="A1:C12"/>
  <tableColumns count="3">
    <tableColumn id="1" name="Araç / servis"/>
    <tableColumn id="2" name="Kullanım amacı"/>
    <tableColumn id="3" name="Ne zaman"/>
  </tableColumns>
</table>
</file>

<file path=xl/tables/table3.xml><?xml version="1.0" encoding="utf-8"?>
<table xmlns="http://schemas.openxmlformats.org/spreadsheetml/2006/main" id="3" name="ArtifaktlarTbl" displayName="ArtifaktlarTbl" ref="A1:E6" headerRowCount="1" totalsRowCount="0" totalsRowShown="0">
  <autoFilter ref="A1:E6"/>
  <tableColumns count="5">
    <tableColumn id="1" name="Tür"/>
    <tableColumn id="2" name="Ad"/>
    <tableColumn id="3" name="Konum / kimlik"/>
    <tableColumn id="4" name="İçerik"/>
    <tableColumn id="5" name="Ne zaman"/>
  </tableColumns>
</table>
</file>

<file path=xl/tables/table4.xml><?xml version="1.0" encoding="utf-8"?>
<table xmlns="http://schemas.openxmlformats.org/spreadsheetml/2006/main" id="4" name="BellekTbl" displayName="BellekTbl" ref="A1:E9" headerRowCount="1" totalsRowCount="0" totalsRowShown="0">
  <autoFilter ref="A1:E9"/>
  <tableColumns count="5">
    <tableColumn id="1" name="Yol"/>
    <tableColumn id="2" name="Açıklama"/>
    <tableColumn id="3" name="Bu sohbette kullanıldı mı"/>
    <tableColumn id="4" name="Nasıl kullanıldı"/>
    <tableColumn id="5" name="İçerik"/>
  </tableColumns>
</table>
</file>

<file path=xl/tables/table5.xml><?xml version="1.0" encoding="utf-8"?>
<table xmlns="http://schemas.openxmlformats.org/spreadsheetml/2006/main" id="5" name="DenetçiTbl" displayName="DenetçiTbl" ref="A1:G47" headerRowCount="1" totalsRowCount="0" totalsRowShown="0">
  <autoFilter ref="A1:G47"/>
  <tableColumns count="7">
    <tableColumn id="1" name="No"/>
    <tableColumn id="2" name="Önem"/>
    <tableColumn id="3" name="Konum"/>
    <tableColumn id="4" name="Sorun"/>
    <tableColumn id="5" name="Kanıt"/>
    <tableColumn id="6" name="Öneri"/>
    <tableColumn id="7" name="Uygulanan"/>
  </tableColumns>
</table>
</file>

<file path=xl/tables/table6.xml><?xml version="1.0" encoding="utf-8"?>
<table xmlns="http://schemas.openxmlformats.org/spreadsheetml/2006/main" id="6" name="DosyalarTbl" displayName="DosyalarTbl" ref="A1:E24" headerRowCount="1" totalsRowCount="0" totalsRowShown="0">
  <autoFilter ref="A1:E24"/>
  <tableColumns count="5">
    <tableColumn id="1" name="Yol"/>
    <tableColumn id="2" name="Tür"/>
    <tableColumn id="3" name="Amaç"/>
    <tableColumn id="4" name="Boyut (bayt)"/>
    <tableColumn id="5" name="Diskte"/>
  </tableColumns>
</table>
</file>

<file path=xl/tables/table7.xml><?xml version="1.0" encoding="utf-8"?>
<table xmlns="http://schemas.openxmlformats.org/spreadsheetml/2006/main" id="7" name="DüzeltmelerTbl" displayName="DüzeltmelerTbl" ref="A1:F22" headerRowCount="1" totalsRowCount="0" totalsRowShown="0">
  <autoFilter ref="A1:F22"/>
  <tableColumns count="6">
    <tableColumn id="1" name="Kaynak no"/>
    <tableColumn id="2" name="Tür"/>
    <tableColumn id="3" name="Önce"/>
    <tableColumn id="4" name="Sonra"/>
    <tableColumn id="5" name="Kanıt"/>
    <tableColumn id="6" name="Önem"/>
  </tableColumns>
</table>
</file>

<file path=xl/tables/table8.xml><?xml version="1.0" encoding="utf-8"?>
<table xmlns="http://schemas.openxmlformats.org/spreadsheetml/2006/main" id="8" name="GörevlerTbl" displayName="GörevlerTbl" ref="A1:C7" headerRowCount="1" totalsRowCount="0" totalsRowShown="0">
  <autoFilter ref="A1:C7"/>
  <tableColumns count="3">
    <tableColumn id="1" name="No"/>
    <tableColumn id="2" name="Görev"/>
    <tableColumn id="3" name="Durum"/>
  </tableColumns>
</table>
</file>

<file path=xl/tables/table9.xml><?xml version="1.0" encoding="utf-8"?>
<table xmlns="http://schemas.openxmlformats.org/spreadsheetml/2006/main" id="9" name="KaynaklarTbl" displayName="KaynaklarTbl" ref="A1:K96" headerRowCount="1" totalsRowCount="0" totalsRowShown="0">
  <autoFilter ref="A1:K96"/>
  <tableColumns count="11">
    <tableColumn id="1" name="No"/>
    <tableColumn id="2" name="Yazarlar"/>
    <tableColumn id="3" name="Başlık"/>
    <tableColumn id="4" name="Yayın yeri"/>
    <tableColumn id="5" name="Yıl"/>
    <tableColumn id="6" name="DOI"/>
    <tableColumn id="7" name="arXiv"/>
    <tableColumn id="8" name="Bağlantı"/>
    <tableColumn id="9" name="Doğrulama durumu"/>
    <tableColumn id="10" name="Kanıt"/>
    <tableColumn id="11" name="Not"/>
  </tableColumns>
</table>
</file>

<file path=xl/tables/table10.xml><?xml version="1.0" encoding="utf-8"?>
<table xmlns="http://schemas.openxmlformats.org/spreadsheetml/2006/main" id="10" name="KontrolTbl" displayName="KontrolTbl" ref="A1:E10" headerRowCount="1" totalsRowCount="0" totalsRowShown="0">
  <autoFilter ref="A1:E10"/>
  <tableColumns count="5">
    <tableColumn id="1" name="Kontrol"/>
    <tableColumn id="2" name="Açıklama"/>
    <tableColumn id="3" name="Önce (bulgu)"/>
    <tableColumn id="4" name="Sonra (bulgu)"/>
    <tableColumn id="5" name="Kalan uyarı"/>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laude.ai/code/artifact/0ded3fdb-7ec8-44fe-9ac6-10dd01719627" TargetMode="External"/><Relationship Id="rId2" Type="http://schemas.openxmlformats.org/officeDocument/2006/relationships/hyperlink" Target="https://github.com/mythril33/Payload-Aware-Open-Set-Interference-Recognition-for-GEO-Transponders" TargetMode="Externa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hyperlink" Target="https://claude.ai/code/artifact/0ded3fdb-7ec8-44fe-9ac6-10dd01719627" TargetMode="External"/><Relationship Id="rId2" Type="http://schemas.openxmlformats.org/officeDocument/2006/relationships/hyperlink" Target="https://github.com/mythril33/Payload-Aware-Open-Set-Interference-Recognition-for-GEO-Transponders" TargetMode="External"/><Relationship Id="rId3"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hyperlink" Target="https://www.satellitetoday.com/connectivity/2005/08/01/satellite-operators-target-interference-problem/" TargetMode="External"/><Relationship Id="rId2" Type="http://schemas.openxmlformats.org/officeDocument/2006/relationships/hyperlink" Target="https://www.satellitetoday.com/connectivity/2005/08/01/satellite-operators-target-interference-problem/" TargetMode="External"/><Relationship Id="rId3" Type="http://schemas.openxmlformats.org/officeDocument/2006/relationships/hyperlink" Target="https://www.microwavejournal.com/articles/18088-tackling-satellite-interference" TargetMode="External"/><Relationship Id="rId4" Type="http://schemas.openxmlformats.org/officeDocument/2006/relationships/hyperlink" Target="https://www.microwavejournal.com/articles/18088-tackling-satellite-interference" TargetMode="External"/><Relationship Id="rId5" Type="http://schemas.openxmlformats.org/officeDocument/2006/relationships/hyperlink" Target="https://www.kratosspace.com/-/media/communications/pdf/fact-sheet---complete-vsat-interference-mitigation.pdf" TargetMode="External"/><Relationship Id="rId6" Type="http://schemas.openxmlformats.org/officeDocument/2006/relationships/hyperlink" Target="https://www.kratosspace.com/-/media/communications/pdf/fact-sheet---complete-vsat-interference-mitigation.pdf" TargetMode="External"/><Relationship Id="rId7" Type="http://schemas.openxmlformats.org/officeDocument/2006/relationships/hyperlink" Target="https://arxiv.org/abs/2007.10110" TargetMode="External"/><Relationship Id="rId8" Type="http://schemas.openxmlformats.org/officeDocument/2006/relationships/hyperlink" Target="https://arxiv.org/abs/2007.10110" TargetMode="External"/><Relationship Id="rId9" Type="http://schemas.openxmlformats.org/officeDocument/2006/relationships/hyperlink" Target="https://www.kratosspace.com/sdatracker/kratos-knownspace-detects-sustained-iran-origin-rf-interference-targeting-geo-communications" TargetMode="External"/><Relationship Id="rId10" Type="http://schemas.openxmlformats.org/officeDocument/2006/relationships/hyperlink" Target="https://www.kratosspace.com/sdatracker/kratos-knownspace-detects-sustained-iran-origin-rf-interference-targeting-geo-communications" TargetMode="External"/><Relationship Id="rId11" Type="http://schemas.openxmlformats.org/officeDocument/2006/relationships/hyperlink" Target="https://doi.org/10.1109/MCOM.001.2000367" TargetMode="External"/><Relationship Id="rId12" Type="http://schemas.openxmlformats.org/officeDocument/2006/relationships/hyperlink" Target="https://api.crossref.org/works/10.1109/MCOM.001.2000367" TargetMode="External"/><Relationship Id="rId13" Type="http://schemas.openxmlformats.org/officeDocument/2006/relationships/hyperlink" Target="https://arxiv.org/abs/1802.03958" TargetMode="External"/><Relationship Id="rId14" Type="http://schemas.openxmlformats.org/officeDocument/2006/relationships/hyperlink" Target="https://arxiv.org/abs/1802.03958" TargetMode="External"/><Relationship Id="rId15" Type="http://schemas.openxmlformats.org/officeDocument/2006/relationships/hyperlink" Target="https://doi.org/10.1109/SPAWC.2016.7536813" TargetMode="External"/><Relationship Id="rId16" Type="http://schemas.openxmlformats.org/officeDocument/2006/relationships/hyperlink" Target="https://api.crossref.org/works/10.1109/SPAWC.2016.7536813" TargetMode="External"/><Relationship Id="rId17" Type="http://schemas.openxmlformats.org/officeDocument/2006/relationships/hyperlink" Target="https://doi.org/10.1109/ICASSP.2017.7953366" TargetMode="External"/><Relationship Id="rId18" Type="http://schemas.openxmlformats.org/officeDocument/2006/relationships/hyperlink" Target="https://api.crossref.org/works/10.1109/ICASSP.2017.7953366" TargetMode="External"/><Relationship Id="rId19" Type="http://schemas.openxmlformats.org/officeDocument/2006/relationships/hyperlink" Target="https://doi.org/10.1109/79.81007" TargetMode="External"/><Relationship Id="rId20" Type="http://schemas.openxmlformats.org/officeDocument/2006/relationships/hyperlink" Target="https://api.crossref.org/works/10.1109/79.81007" TargetMode="External"/><Relationship Id="rId21" Type="http://schemas.openxmlformats.org/officeDocument/2006/relationships/hyperlink" Target="https://doi.org/10.3390/s20020355" TargetMode="External"/><Relationship Id="rId22" Type="http://schemas.openxmlformats.org/officeDocument/2006/relationships/hyperlink" Target="https://api.crossref.org/works/10.3390/s20020355" TargetMode="External"/><Relationship Id="rId23" Type="http://schemas.openxmlformats.org/officeDocument/2006/relationships/hyperlink" Target="https://www.itu.int/dms_pubrec/itu-r/rec/s/R-REC-S.2062-0-201409-I!!PDF-E.pdf" TargetMode="External"/><Relationship Id="rId24" Type="http://schemas.openxmlformats.org/officeDocument/2006/relationships/hyperlink" Target="https://www.itu.int/dms_pubrec/itu-r/rec/s/R-REC-S.2062-0-201409-I!!PDF-E.pdf" TargetMode="External"/><Relationship Id="rId25" Type="http://schemas.openxmlformats.org/officeDocument/2006/relationships/hyperlink" Target="https://www.satellitetoday.com/technology/2014/03/26/preventing-adjacent-satellite-interference/" TargetMode="External"/><Relationship Id="rId26" Type="http://schemas.openxmlformats.org/officeDocument/2006/relationships/hyperlink" Target="https://www.satellitetoday.com/technology/2014/03/26/preventing-adjacent-satellite-interference/" TargetMode="External"/><Relationship Id="rId27" Type="http://schemas.openxmlformats.org/officeDocument/2006/relationships/hyperlink" Target="https://www.rohde-schwarz.com/us/products/aerospace-defense-security/secure-communications-options/rs-gsacsm-communications-system-monitoring_63493-636288.html" TargetMode="External"/><Relationship Id="rId28" Type="http://schemas.openxmlformats.org/officeDocument/2006/relationships/hyperlink" Target="https://www.rohde-schwarz.com/us/products/aerospace-defense-security/secure-communications-options/rs-gsacsm-communications-system-monitoring_63493-636288.html" TargetMode="External"/><Relationship Id="rId29" Type="http://schemas.openxmlformats.org/officeDocument/2006/relationships/hyperlink" Target="https://www.integrasys-space.com/interference-detection" TargetMode="External"/><Relationship Id="rId30" Type="http://schemas.openxmlformats.org/officeDocument/2006/relationships/hyperlink" Target="https://www.integrasys-space.com/interference-detection" TargetMode="External"/><Relationship Id="rId31" Type="http://schemas.openxmlformats.org/officeDocument/2006/relationships/hyperlink" Target="https://www.calian.com/advanced-technologies/space-satcom/decimator-carrier-under-carrier-detection/" TargetMode="External"/><Relationship Id="rId32" Type="http://schemas.openxmlformats.org/officeDocument/2006/relationships/hyperlink" Target="https://www.calian.com/advanced-technologies/space-satcom/decimator-carrier-under-carrier-detection/" TargetMode="External"/><Relationship Id="rId33" Type="http://schemas.openxmlformats.org/officeDocument/2006/relationships/hyperlink" Target="https://doi.org/10.1109/SPAWC.2019.8815532" TargetMode="External"/><Relationship Id="rId34" Type="http://schemas.openxmlformats.org/officeDocument/2006/relationships/hyperlink" Target="https://api.crossref.org/works/10.1109/SPAWC.2019.8815532" TargetMode="External"/><Relationship Id="rId35" Type="http://schemas.openxmlformats.org/officeDocument/2006/relationships/hyperlink" Target="https://arxiv.org/abs/1912.04716" TargetMode="External"/><Relationship Id="rId36" Type="http://schemas.openxmlformats.org/officeDocument/2006/relationships/hyperlink" Target="https://arxiv.org/abs/1912.04716" TargetMode="External"/><Relationship Id="rId37" Type="http://schemas.openxmlformats.org/officeDocument/2006/relationships/hyperlink" Target="https://doi.org/10.1109/ICASSPW59220.2023.10193395" TargetMode="External"/><Relationship Id="rId38" Type="http://schemas.openxmlformats.org/officeDocument/2006/relationships/hyperlink" Target="https://api.crossref.org/works/10.1109/ICASSPW59220.2023.10193395" TargetMode="External"/><Relationship Id="rId39" Type="http://schemas.openxmlformats.org/officeDocument/2006/relationships/hyperlink" Target="https://doi.org/10.1109/PIMRC56721.2023.10293839" TargetMode="External"/><Relationship Id="rId40" Type="http://schemas.openxmlformats.org/officeDocument/2006/relationships/hyperlink" Target="https://api.crossref.org/works/10.1109/PIMRC56721.2023.10293839" TargetMode="External"/><Relationship Id="rId41" Type="http://schemas.openxmlformats.org/officeDocument/2006/relationships/hyperlink" Target="https://doi.org/10.1109/ICCWorkshops59551.2024.10615457" TargetMode="External"/><Relationship Id="rId42" Type="http://schemas.openxmlformats.org/officeDocument/2006/relationships/hyperlink" Target="https://api.crossref.org/works/10.1109/ICCWorkshops59551.2024.10615457" TargetMode="External"/><Relationship Id="rId43" Type="http://schemas.openxmlformats.org/officeDocument/2006/relationships/hyperlink" Target="https://doi.org/10.1109/TMLCN.2024.3418933" TargetMode="External"/><Relationship Id="rId44" Type="http://schemas.openxmlformats.org/officeDocument/2006/relationships/hyperlink" Target="https://api.crossref.org/works/10.1109/TMLCN.2024.3418933" TargetMode="External"/><Relationship Id="rId45" Type="http://schemas.openxmlformats.org/officeDocument/2006/relationships/hyperlink" Target="https://arxiv.org/abs/2606.14147" TargetMode="External"/><Relationship Id="rId46" Type="http://schemas.openxmlformats.org/officeDocument/2006/relationships/hyperlink" Target="https://arxiv.org/abs/2606.14147" TargetMode="External"/><Relationship Id="rId47" Type="http://schemas.openxmlformats.org/officeDocument/2006/relationships/hyperlink" Target="https://doi.org/10.1145/3231884.3231901" TargetMode="External"/><Relationship Id="rId48" Type="http://schemas.openxmlformats.org/officeDocument/2006/relationships/hyperlink" Target="https://api.crossref.org/works/10.1145/3231884.3231901" TargetMode="External"/><Relationship Id="rId49" Type="http://schemas.openxmlformats.org/officeDocument/2006/relationships/hyperlink" Target="https://doi.org/10.1109/ACSAT63853.2024.10823708" TargetMode="External"/><Relationship Id="rId50" Type="http://schemas.openxmlformats.org/officeDocument/2006/relationships/hyperlink" Target="https://api.crossref.org/works/10.1109/ACSAT63853.2024.10823708" TargetMode="External"/><Relationship Id="rId51" Type="http://schemas.openxmlformats.org/officeDocument/2006/relationships/hyperlink" Target="https://doi.org/10.1109/ICECAI66283.2025.11170987" TargetMode="External"/><Relationship Id="rId52" Type="http://schemas.openxmlformats.org/officeDocument/2006/relationships/hyperlink" Target="https://api.crossref.org/works/10.1109/ICECAI66283.2025.11170987" TargetMode="External"/><Relationship Id="rId53" Type="http://schemas.openxmlformats.org/officeDocument/2006/relationships/hyperlink" Target="https://doi.org/10.3390/aerospace10020101" TargetMode="External"/><Relationship Id="rId54" Type="http://schemas.openxmlformats.org/officeDocument/2006/relationships/hyperlink" Target="https://api.crossref.org/works/10.3390/aerospace10020101" TargetMode="External"/><Relationship Id="rId55" Type="http://schemas.openxmlformats.org/officeDocument/2006/relationships/hyperlink" Target="https://arxiv.org/abs/2101.10899" TargetMode="External"/><Relationship Id="rId56" Type="http://schemas.openxmlformats.org/officeDocument/2006/relationships/hyperlink" Target="https://arxiv.org/abs/2101.10899" TargetMode="External"/><Relationship Id="rId57" Type="http://schemas.openxmlformats.org/officeDocument/2006/relationships/hyperlink" Target="https://orbilu.uni.lu/bitstream/10993/65397/1/Artificial_Intelligence_for_Satellite_Communication_A_Survey.pdf" TargetMode="External"/><Relationship Id="rId58" Type="http://schemas.openxmlformats.org/officeDocument/2006/relationships/hyperlink" Target="https://orbilu.uni.lu/bitstream/10993/65397/1/Artificial_Intelligence_for_Satellite_Communication_A_Survey.pdf" TargetMode="External"/><Relationship Id="rId59" Type="http://schemas.openxmlformats.org/officeDocument/2006/relationships/hyperlink" Target="https://doi.org/10.1002/sat.1482" TargetMode="External"/><Relationship Id="rId60" Type="http://schemas.openxmlformats.org/officeDocument/2006/relationships/hyperlink" Target="https://api.crossref.org/works/10.1002/sat.1482" TargetMode="External"/><Relationship Id="rId61" Type="http://schemas.openxmlformats.org/officeDocument/2006/relationships/hyperlink" Target="https://doi.org/10.33012/2022.18586" TargetMode="External"/><Relationship Id="rId62" Type="http://schemas.openxmlformats.org/officeDocument/2006/relationships/hyperlink" Target="https://www.researchgate.net/publication/364056875" TargetMode="External"/><Relationship Id="rId63" Type="http://schemas.openxmlformats.org/officeDocument/2006/relationships/hyperlink" Target="https://doi.org/10.3390/s23073452" TargetMode="External"/><Relationship Id="rId64" Type="http://schemas.openxmlformats.org/officeDocument/2006/relationships/hyperlink" Target="https://api.crossref.org/works/10.3390/s23073452" TargetMode="External"/><Relationship Id="rId65" Type="http://schemas.openxmlformats.org/officeDocument/2006/relationships/hyperlink" Target="https://doi.org/10.1109/ICL-GNSS60721.2024.10578525" TargetMode="External"/><Relationship Id="rId66" Type="http://schemas.openxmlformats.org/officeDocument/2006/relationships/hyperlink" Target="https://api.crossref.org/works/10.1109/ICL-GNSS60721.2024.10578525" TargetMode="External"/><Relationship Id="rId67" Type="http://schemas.openxmlformats.org/officeDocument/2006/relationships/hyperlink" Target="https://arxiv.org/abs/2503.23775" TargetMode="External"/><Relationship Id="rId68" Type="http://schemas.openxmlformats.org/officeDocument/2006/relationships/hyperlink" Target="https://arxiv.org/abs/2503.23775" TargetMode="External"/><Relationship Id="rId69" Type="http://schemas.openxmlformats.org/officeDocument/2006/relationships/hyperlink" Target="https://arxiv.org/abs/2504.10556" TargetMode="External"/><Relationship Id="rId70" Type="http://schemas.openxmlformats.org/officeDocument/2006/relationships/hyperlink" Target="https://arxiv.org/abs/2504.10556" TargetMode="External"/><Relationship Id="rId71" Type="http://schemas.openxmlformats.org/officeDocument/2006/relationships/hyperlink" Target="https://arxiv.org/abs/2607.03411" TargetMode="External"/><Relationship Id="rId72" Type="http://schemas.openxmlformats.org/officeDocument/2006/relationships/hyperlink" Target="https://arxiv.org/abs/2607.03411" TargetMode="External"/><Relationship Id="rId73" Type="http://schemas.openxmlformats.org/officeDocument/2006/relationships/hyperlink" Target="https://doi.org/10.1109/TAES.2024.3462662" TargetMode="External"/><Relationship Id="rId74" Type="http://schemas.openxmlformats.org/officeDocument/2006/relationships/hyperlink" Target="https://api.crossref.org/works/10.1109/TAES.2024.3462662" TargetMode="External"/><Relationship Id="rId75" Type="http://schemas.openxmlformats.org/officeDocument/2006/relationships/hyperlink" Target="https://doi.org/10.1109/JSTSP.2018.2797022" TargetMode="External"/><Relationship Id="rId76" Type="http://schemas.openxmlformats.org/officeDocument/2006/relationships/hyperlink" Target="https://api.crossref.org/works/10.1109/JSTSP.2018.2797022" TargetMode="External"/><Relationship Id="rId77" Type="http://schemas.openxmlformats.org/officeDocument/2006/relationships/hyperlink" Target="https://arxiv.org/abs/2207.09918" TargetMode="External"/><Relationship Id="rId78" Type="http://schemas.openxmlformats.org/officeDocument/2006/relationships/hyperlink" Target="https://arxiv.org/abs/2207.09918" TargetMode="External"/><Relationship Id="rId79" Type="http://schemas.openxmlformats.org/officeDocument/2006/relationships/hyperlink" Target="https://arxiv.org/abs/2211.10335" TargetMode="External"/><Relationship Id="rId80" Type="http://schemas.openxmlformats.org/officeDocument/2006/relationships/hyperlink" Target="https://arxiv.org/abs/2211.10335" TargetMode="External"/><Relationship Id="rId81" Type="http://schemas.openxmlformats.org/officeDocument/2006/relationships/hyperlink" Target="https://doi.org/10.1109/ACCESS.2018.2818794" TargetMode="External"/><Relationship Id="rId82" Type="http://schemas.openxmlformats.org/officeDocument/2006/relationships/hyperlink" Target="https://api.crossref.org/works/10.1109/ACCESS.2018.2818794" TargetMode="External"/><Relationship Id="rId83" Type="http://schemas.openxmlformats.org/officeDocument/2006/relationships/hyperlink" Target="https://arxiv.org/abs/2003.08359" TargetMode="External"/><Relationship Id="rId84" Type="http://schemas.openxmlformats.org/officeDocument/2006/relationships/hyperlink" Target="https://arxiv.org/abs/2003.08359" TargetMode="External"/><Relationship Id="rId85" Type="http://schemas.openxmlformats.org/officeDocument/2006/relationships/hyperlink" Target="http://phwl.org/assets/papers/cycloamc_fpt25.pdf" TargetMode="External"/><Relationship Id="rId86" Type="http://schemas.openxmlformats.org/officeDocument/2006/relationships/hyperlink" Target="http://phwl.org/assets/papers/cycloamc_fpt25.pdf" TargetMode="External"/><Relationship Id="rId87" Type="http://schemas.openxmlformats.org/officeDocument/2006/relationships/hyperlink" Target="https://arxiv.org/abs/2303.03326" TargetMode="External"/><Relationship Id="rId88" Type="http://schemas.openxmlformats.org/officeDocument/2006/relationships/hyperlink" Target="https://arxiv.org/abs/2303.03326" TargetMode="External"/><Relationship Id="rId89" Type="http://schemas.openxmlformats.org/officeDocument/2006/relationships/hyperlink" Target="https://arxiv.org/abs/2108.10056" TargetMode="External"/><Relationship Id="rId90" Type="http://schemas.openxmlformats.org/officeDocument/2006/relationships/hyperlink" Target="https://arxiv.org/abs/2108.10056" TargetMode="External"/><Relationship Id="rId91" Type="http://schemas.openxmlformats.org/officeDocument/2006/relationships/hyperlink" Target="https://arxiv.org/abs/2112.08988" TargetMode="External"/><Relationship Id="rId92" Type="http://schemas.openxmlformats.org/officeDocument/2006/relationships/hyperlink" Target="https://arxiv.org/abs/2112.08988" TargetMode="External"/><Relationship Id="rId93" Type="http://schemas.openxmlformats.org/officeDocument/2006/relationships/hyperlink" Target="https://arxiv.org/abs/1512.03385" TargetMode="External"/><Relationship Id="rId94" Type="http://schemas.openxmlformats.org/officeDocument/2006/relationships/hyperlink" Target="https://arxiv.org/abs/1512.03385" TargetMode="External"/><Relationship Id="rId95" Type="http://schemas.openxmlformats.org/officeDocument/2006/relationships/hyperlink" Target="https://arxiv.org/abs/2104.01778" TargetMode="External"/><Relationship Id="rId96" Type="http://schemas.openxmlformats.org/officeDocument/2006/relationships/hyperlink" Target="https://arxiv.org/abs/2104.01778" TargetMode="External"/><Relationship Id="rId97" Type="http://schemas.openxmlformats.org/officeDocument/2006/relationships/hyperlink" Target="https://arxiv.org/abs/1709.07871" TargetMode="External"/><Relationship Id="rId98" Type="http://schemas.openxmlformats.org/officeDocument/2006/relationships/hyperlink" Target="https://arxiv.org/abs/1709.07871" TargetMode="External"/><Relationship Id="rId99" Type="http://schemas.openxmlformats.org/officeDocument/2006/relationships/hyperlink" Target="https://doi.org/10.1109/TCOM.1981.1094911" TargetMode="External"/><Relationship Id="rId100" Type="http://schemas.openxmlformats.org/officeDocument/2006/relationships/hyperlink" Target="https://api.crossref.org/works/10.1109/TCOM.1981.1094911" TargetMode="External"/><Relationship Id="rId101" Type="http://schemas.openxmlformats.org/officeDocument/2006/relationships/hyperlink" Target="https://doi.org/10.1109/JPROC.2005.861013" TargetMode="External"/><Relationship Id="rId102" Type="http://schemas.openxmlformats.org/officeDocument/2006/relationships/hyperlink" Target="https://api.crossref.org/works/10.1109/JPROC.2005.861013" TargetMode="External"/><Relationship Id="rId103" Type="http://schemas.openxmlformats.org/officeDocument/2006/relationships/hyperlink" Target="https://doi.org/10.1002/sat.791" TargetMode="External"/><Relationship Id="rId104" Type="http://schemas.openxmlformats.org/officeDocument/2006/relationships/hyperlink" Target="https://api.crossref.org/works/10.1002/sat.791" TargetMode="External"/><Relationship Id="rId105" Type="http://schemas.openxmlformats.org/officeDocument/2006/relationships/hyperlink" Target="https://dvb.org/wp-content/uploads/2020/02/A171-2_DVB-S2X_Implementation-Guidelines_Draft-TR-102-376-2_v121_Apr-2020.pdf" TargetMode="External"/><Relationship Id="rId106" Type="http://schemas.openxmlformats.org/officeDocument/2006/relationships/hyperlink" Target="https://dvb.org/wp-content/uploads/2020/02/A171-2_DVB-S2X_Implementation-Guidelines_Draft-TR-102-376-2_v121_Apr-2020.pdf" TargetMode="External"/><Relationship Id="rId107" Type="http://schemas.openxmlformats.org/officeDocument/2006/relationships/hyperlink" Target="https://doi.org/10.1109/TCOMM.2011.042111.100320" TargetMode="External"/><Relationship Id="rId108" Type="http://schemas.openxmlformats.org/officeDocument/2006/relationships/hyperlink" Target="https://api.crossref.org/works/10.1109/TCOMM.2011.042111.100320" TargetMode="External"/><Relationship Id="rId109" Type="http://schemas.openxmlformats.org/officeDocument/2006/relationships/hyperlink" Target="https://doi.org/10.1049/el.2014.1172" TargetMode="External"/><Relationship Id="rId110" Type="http://schemas.openxmlformats.org/officeDocument/2006/relationships/hyperlink" Target="https://api.crossref.org/works/10.1049/el.2014.1172" TargetMode="External"/><Relationship Id="rId111" Type="http://schemas.openxmlformats.org/officeDocument/2006/relationships/hyperlink" Target="https://www.researchgate.net/publication/349494998" TargetMode="External"/><Relationship Id="rId112" Type="http://schemas.openxmlformats.org/officeDocument/2006/relationships/hyperlink" Target="https://www.researchgate.net/publication/349494998" TargetMode="External"/><Relationship Id="rId113" Type="http://schemas.openxmlformats.org/officeDocument/2006/relationships/hyperlink" Target="https://api.crossref.org/works/10.1109/TCOM.1981.1094911%20(reference%20list%20of%20%5B51%5D)" TargetMode="External"/><Relationship Id="rId114" Type="http://schemas.openxmlformats.org/officeDocument/2006/relationships/hyperlink" Target="https://arxiv.org/abs/2506.14557" TargetMode="External"/><Relationship Id="rId115" Type="http://schemas.openxmlformats.org/officeDocument/2006/relationships/hyperlink" Target="https://arxiv.org/abs/2506.14557" TargetMode="External"/><Relationship Id="rId116" Type="http://schemas.openxmlformats.org/officeDocument/2006/relationships/hyperlink" Target="https://doi.org/10.3390/s25123743" TargetMode="External"/><Relationship Id="rId117" Type="http://schemas.openxmlformats.org/officeDocument/2006/relationships/hyperlink" Target="https://api.crossref.org/works/10.3390/s25123743" TargetMode="External"/><Relationship Id="rId118" Type="http://schemas.openxmlformats.org/officeDocument/2006/relationships/hyperlink" Target="https://arxiv.org/abs/2401.08318" TargetMode="External"/><Relationship Id="rId119" Type="http://schemas.openxmlformats.org/officeDocument/2006/relationships/hyperlink" Target="https://arxiv.org/abs/2401.08318" TargetMode="External"/><Relationship Id="rId120" Type="http://schemas.openxmlformats.org/officeDocument/2006/relationships/hyperlink" Target="https://arxiv.org/abs/2507.06849" TargetMode="External"/><Relationship Id="rId121" Type="http://schemas.openxmlformats.org/officeDocument/2006/relationships/hyperlink" Target="https://arxiv.org/abs/2507.06849" TargetMode="External"/><Relationship Id="rId122" Type="http://schemas.openxmlformats.org/officeDocument/2006/relationships/hyperlink" Target="https://arxiv.org/abs/1811.04521" TargetMode="External"/><Relationship Id="rId123" Type="http://schemas.openxmlformats.org/officeDocument/2006/relationships/hyperlink" Target="https://arxiv.org/abs/1811.04521" TargetMode="External"/><Relationship Id="rId124" Type="http://schemas.openxmlformats.org/officeDocument/2006/relationships/hyperlink" Target="https://doi.org/10.1049/joe.2015.0178" TargetMode="External"/><Relationship Id="rId125" Type="http://schemas.openxmlformats.org/officeDocument/2006/relationships/hyperlink" Target="https://api.crossref.org/works/10.1049/joe.2015.0178" TargetMode="External"/><Relationship Id="rId126" Type="http://schemas.openxmlformats.org/officeDocument/2006/relationships/hyperlink" Target="https://ipnpr.jpl.nasa.gov/progress_report/42-213/42-213A.pdf" TargetMode="External"/><Relationship Id="rId127" Type="http://schemas.openxmlformats.org/officeDocument/2006/relationships/hyperlink" Target="https://ipnpr.jpl.nasa.gov/progress_report/42-213/42-213A.pdf" TargetMode="External"/><Relationship Id="rId128" Type="http://schemas.openxmlformats.org/officeDocument/2006/relationships/hyperlink" Target="https://doi.org/10.1109/ICCSNT.2013.6967240" TargetMode="External"/><Relationship Id="rId129" Type="http://schemas.openxmlformats.org/officeDocument/2006/relationships/hyperlink" Target="https://api.crossref.org/works/10.1109/ICCSNT.2013.6967240" TargetMode="External"/><Relationship Id="rId130" Type="http://schemas.openxmlformats.org/officeDocument/2006/relationships/hyperlink" Target="https://doi.org/10.1109/VTCFall.2013.6692242" TargetMode="External"/><Relationship Id="rId131" Type="http://schemas.openxmlformats.org/officeDocument/2006/relationships/hyperlink" Target="https://api.crossref.org/works/10.1109/VTCFall.2013.6692242" TargetMode="External"/><Relationship Id="rId132" Type="http://schemas.openxmlformats.org/officeDocument/2006/relationships/hyperlink" Target="https://doi.org/10.1109/TPAMI.2020.2981604" TargetMode="External"/><Relationship Id="rId133" Type="http://schemas.openxmlformats.org/officeDocument/2006/relationships/hyperlink" Target="https://api.crossref.org/works/10.1109/TPAMI.2020.2981604" TargetMode="External"/><Relationship Id="rId134" Type="http://schemas.openxmlformats.org/officeDocument/2006/relationships/hyperlink" Target="https://doi.org/10.1007/s11263-024-02117-4" TargetMode="External"/><Relationship Id="rId135" Type="http://schemas.openxmlformats.org/officeDocument/2006/relationships/hyperlink" Target="https://api.crossref.org/works/10.1007/s11263-024-02117-4" TargetMode="External"/><Relationship Id="rId136" Type="http://schemas.openxmlformats.org/officeDocument/2006/relationships/hyperlink" Target="https://arxiv.org/abs/1610.02136" TargetMode="External"/><Relationship Id="rId137" Type="http://schemas.openxmlformats.org/officeDocument/2006/relationships/hyperlink" Target="https://arxiv.org/abs/1610.02136" TargetMode="External"/><Relationship Id="rId138" Type="http://schemas.openxmlformats.org/officeDocument/2006/relationships/hyperlink" Target="https://arxiv.org/abs/1706.02690" TargetMode="External"/><Relationship Id="rId139" Type="http://schemas.openxmlformats.org/officeDocument/2006/relationships/hyperlink" Target="https://arxiv.org/abs/1706.02690" TargetMode="External"/><Relationship Id="rId140" Type="http://schemas.openxmlformats.org/officeDocument/2006/relationships/hyperlink" Target="https://arxiv.org/abs/2010.03759" TargetMode="External"/><Relationship Id="rId141" Type="http://schemas.openxmlformats.org/officeDocument/2006/relationships/hyperlink" Target="https://arxiv.org/abs/2010.03759" TargetMode="External"/><Relationship Id="rId142" Type="http://schemas.openxmlformats.org/officeDocument/2006/relationships/hyperlink" Target="https://arxiv.org/abs/1807.03888" TargetMode="External"/><Relationship Id="rId143" Type="http://schemas.openxmlformats.org/officeDocument/2006/relationships/hyperlink" Target="https://arxiv.org/abs/1807.03888" TargetMode="External"/><Relationship Id="rId144" Type="http://schemas.openxmlformats.org/officeDocument/2006/relationships/hyperlink" Target="https://arxiv.org/abs/1511.06233" TargetMode="External"/><Relationship Id="rId145" Type="http://schemas.openxmlformats.org/officeDocument/2006/relationships/hyperlink" Target="https://arxiv.org/abs/1511.06233" TargetMode="External"/><Relationship Id="rId146" Type="http://schemas.openxmlformats.org/officeDocument/2006/relationships/hyperlink" Target="https://doi.org/10.1109/TPAMI.2021.3106743" TargetMode="External"/><Relationship Id="rId147" Type="http://schemas.openxmlformats.org/officeDocument/2006/relationships/hyperlink" Target="https://api.crossref.org/works/10.1109/TPAMI.2021.3106743" TargetMode="External"/><Relationship Id="rId148" Type="http://schemas.openxmlformats.org/officeDocument/2006/relationships/hyperlink" Target="https://arxiv.org/abs/2110.06207" TargetMode="External"/><Relationship Id="rId149" Type="http://schemas.openxmlformats.org/officeDocument/2006/relationships/hyperlink" Target="https://arxiv.org/abs/2110.06207" TargetMode="External"/><Relationship Id="rId150" Type="http://schemas.openxmlformats.org/officeDocument/2006/relationships/hyperlink" Target="https://arxiv.org/abs/1811.04110" TargetMode="External"/><Relationship Id="rId151" Type="http://schemas.openxmlformats.org/officeDocument/2006/relationships/hyperlink" Target="https://arxiv.org/abs/1811.04110" TargetMode="External"/><Relationship Id="rId152" Type="http://schemas.openxmlformats.org/officeDocument/2006/relationships/hyperlink" Target="https://arxiv.org/abs/2002.12037" TargetMode="External"/><Relationship Id="rId153" Type="http://schemas.openxmlformats.org/officeDocument/2006/relationships/hyperlink" Target="https://arxiv.org/abs/2002.12037" TargetMode="External"/><Relationship Id="rId154" Type="http://schemas.openxmlformats.org/officeDocument/2006/relationships/hyperlink" Target="https://arxiv.org/abs/2312.13023" TargetMode="External"/><Relationship Id="rId155" Type="http://schemas.openxmlformats.org/officeDocument/2006/relationships/hyperlink" Target="https://arxiv.org/abs/2312.13023" TargetMode="External"/><Relationship Id="rId156" Type="http://schemas.openxmlformats.org/officeDocument/2006/relationships/hyperlink" Target="https://arxiv.org/abs/2410.10265" TargetMode="External"/><Relationship Id="rId157" Type="http://schemas.openxmlformats.org/officeDocument/2006/relationships/hyperlink" Target="https://arxiv.org/abs/2410.10265" TargetMode="External"/><Relationship Id="rId158" Type="http://schemas.openxmlformats.org/officeDocument/2006/relationships/hyperlink" Target="https://arxiv.org/abs/2405.05022" TargetMode="External"/><Relationship Id="rId159" Type="http://schemas.openxmlformats.org/officeDocument/2006/relationships/hyperlink" Target="https://arxiv.org/abs/2405.05022" TargetMode="External"/><Relationship Id="rId160" Type="http://schemas.openxmlformats.org/officeDocument/2006/relationships/hyperlink" Target="https://arxiv.org/abs/2306.13895" TargetMode="External"/><Relationship Id="rId161" Type="http://schemas.openxmlformats.org/officeDocument/2006/relationships/hyperlink" Target="https://arxiv.org/abs/2306.13895" TargetMode="External"/><Relationship Id="rId162" Type="http://schemas.openxmlformats.org/officeDocument/2006/relationships/hyperlink" Target="https://arxiv.org/abs/2302.03749" TargetMode="External"/><Relationship Id="rId163" Type="http://schemas.openxmlformats.org/officeDocument/2006/relationships/hyperlink" Target="https://arxiv.org/abs/2302.03749" TargetMode="External"/><Relationship Id="rId164" Type="http://schemas.openxmlformats.org/officeDocument/2006/relationships/hyperlink" Target="https://doi.org/10.3390/app12094380" TargetMode="External"/><Relationship Id="rId165" Type="http://schemas.openxmlformats.org/officeDocument/2006/relationships/hyperlink" Target="https://api.crossref.org/works/10.3390/app12094380" TargetMode="External"/><Relationship Id="rId166" Type="http://schemas.openxmlformats.org/officeDocument/2006/relationships/hyperlink" Target="https://doi.org/10.3390/rs14246220" TargetMode="External"/><Relationship Id="rId167" Type="http://schemas.openxmlformats.org/officeDocument/2006/relationships/hyperlink" Target="https://api.crossref.org/works/10.3390/rs14246220" TargetMode="External"/><Relationship Id="rId168" Type="http://schemas.openxmlformats.org/officeDocument/2006/relationships/hyperlink" Target="https://doi.org/10.1049/rsn2.12561" TargetMode="External"/><Relationship Id="rId169" Type="http://schemas.openxmlformats.org/officeDocument/2006/relationships/hyperlink" Target="https://api.crossref.org/works/10.1049/rsn2.12561" TargetMode="External"/><Relationship Id="rId170" Type="http://schemas.openxmlformats.org/officeDocument/2006/relationships/hyperlink" Target="https://doi.org/10.1049/cmu2.70198" TargetMode="External"/><Relationship Id="rId171" Type="http://schemas.openxmlformats.org/officeDocument/2006/relationships/hyperlink" Target="https://api.crossref.org/works/10.1049/cmu2.70198" TargetMode="External"/><Relationship Id="rId172" Type="http://schemas.openxmlformats.org/officeDocument/2006/relationships/hyperlink" Target="https://doi.org/10.20944/preprints202503.2079.v1" TargetMode="External"/><Relationship Id="rId173" Type="http://schemas.openxmlformats.org/officeDocument/2006/relationships/hyperlink" Target="https://www.preprints.org/manuscript/202503.2079/v1" TargetMode="External"/><Relationship Id="rId174" Type="http://schemas.openxmlformats.org/officeDocument/2006/relationships/hyperlink" Target="https://arxiv.org/abs/2510.23186" TargetMode="External"/><Relationship Id="rId175" Type="http://schemas.openxmlformats.org/officeDocument/2006/relationships/hyperlink" Target="https://arxiv.org/abs/2510.23186" TargetMode="External"/><Relationship Id="rId176" Type="http://schemas.openxmlformats.org/officeDocument/2006/relationships/hyperlink" Target="https://arxiv.org/abs/2605.04676" TargetMode="External"/><Relationship Id="rId177" Type="http://schemas.openxmlformats.org/officeDocument/2006/relationships/hyperlink" Target="https://arxiv.org/abs/2605.04676" TargetMode="External"/><Relationship Id="rId178" Type="http://schemas.openxmlformats.org/officeDocument/2006/relationships/hyperlink" Target="https://arxiv.org/abs/1603.02754" TargetMode="External"/><Relationship Id="rId179" Type="http://schemas.openxmlformats.org/officeDocument/2006/relationships/hyperlink" Target="https://arxiv.org/abs/1603.02754" TargetMode="External"/><Relationship Id="rId180" Type="http://schemas.openxmlformats.org/officeDocument/2006/relationships/hyperlink" Target="https://fnr-smartspace-project.uni.lu/satellite-on-board-interference-detection/" TargetMode="External"/><Relationship Id="rId181" Type="http://schemas.openxmlformats.org/officeDocument/2006/relationships/hyperlink" Target="https://fnr-smartspace-project.uni.lu/satellite-on-board-interference-detection/" TargetMode="External"/><Relationship Id="rId182" Type="http://schemas.openxmlformats.org/officeDocument/2006/relationships/hyperlink" Target="https://fnr-smartspace-project.uni.lu/ngso-to-gsos-users-interference/" TargetMode="External"/><Relationship Id="rId183" Type="http://schemas.openxmlformats.org/officeDocument/2006/relationships/hyperlink" Target="https://fnr-smartspace-project.uni.lu/ngso-to-gsos-users-interference/" TargetMode="External"/><Relationship Id="rId184" Type="http://schemas.openxmlformats.org/officeDocument/2006/relationships/hyperlink" Target="https://doi.org/10.21227/xpm9-tt28" TargetMode="External"/><Relationship Id="rId185" Type="http://schemas.openxmlformats.org/officeDocument/2006/relationships/hyperlink" Target="https://api.datacite.org/dois/10.21227/xpm9-tt28" TargetMode="External"/><Relationship Id="rId186" Type="http://schemas.openxmlformats.org/officeDocument/2006/relationships/hyperlink" Target="https://zenodo.org/records/21336653" TargetMode="External"/><Relationship Id="rId187" Type="http://schemas.openxmlformats.org/officeDocument/2006/relationships/hyperlink" Target="https://zenodo.org/records/21336653" TargetMode="External"/><Relationship Id="rId188"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hyperlink" Target="https://arxiv.org/abs/2010.03759" TargetMode="External"/><Relationship Id="rId2" Type="http://schemas.openxmlformats.org/officeDocument/2006/relationships/hyperlink" Target="https://api.crossref.org/works?query.bibliographic=CNN-Based+On-Board+Interference+Detection" TargetMode="External"/><Relationship Id="rId3" Type="http://schemas.openxmlformats.org/officeDocument/2006/relationships/hyperlink" Target="https://doi.org/10.1109/TAES.2024.3462662" TargetMode="External"/><Relationship Id="rId4" Type="http://schemas.openxmlformats.org/officeDocument/2006/relationships/hyperlink" Target="https://orbilu.uni.lu/bitstream/10993/65397/1/Artificial_Intelligence_for_Satellite_Communication_A_Survey.pdf" TargetMode="External"/><Relationship Id="rId5" Type="http://schemas.openxmlformats.org/officeDocument/2006/relationships/hyperlink" Target="https://patents.google.com/patent/US10103804B2/en" TargetMode="External"/><Relationship Id="rId6" Type="http://schemas.openxmlformats.org/officeDocument/2006/relationships/hyperlink" Target="https://www.mdpi.com/2076-3417/12/9/4380" TargetMode="External"/><Relationship Id="rId7" Type="http://schemas.openxmlformats.org/officeDocument/2006/relationships/hyperlink" Target="https://doi.org/10.1109/ICCSNT.2013.6967240" TargetMode="External"/><Relationship Id="rId8" Type="http://schemas.openxmlformats.org/officeDocument/2006/relationships/hyperlink" Target="https://api.crossref.org/works/10.1145/3231884.3231901" TargetMode="External"/><Relationship Id="rId9" Type="http://schemas.openxmlformats.org/officeDocument/2006/relationships/hyperlink" Target="https://pmc.ncbi.nlm.nih.gov/articles/PMC12197282/" TargetMode="External"/><Relationship Id="rId10" Type="http://schemas.openxmlformats.org/officeDocument/2006/relationships/hyperlink" Target="https://ipnpr.jpl.nasa.gov/progress_report/42-213/42-213A.pdf" TargetMode="External"/><Relationship Id="rId11" Type="http://schemas.openxmlformats.org/officeDocument/2006/relationships/hyperlink" Target="https://arxiv.org/abs/2110.06207" TargetMode="External"/><Relationship Id="rId12" Type="http://schemas.openxmlformats.org/officeDocument/2006/relationships/hyperlink" Target="https://api.crossref.org/works/10.1109/79.81007" TargetMode="External"/><Relationship Id="rId13" Type="http://schemas.openxmlformats.org/officeDocument/2006/relationships/hyperlink" Target="https://api.crossref.org/works/10.3390/s23073452" TargetMode="External"/><Relationship Id="rId14" Type="http://schemas.openxmlformats.org/officeDocument/2006/relationships/hyperlink" Target="https://api.crossref.org/works/10.1109/TCOM.1981.1094911" TargetMode="External"/><Relationship Id="rId15" Type="http://schemas.openxmlformats.org/officeDocument/2006/relationships/hyperlink" Target="https://api.datacite.org/dois/10.21227/xpm9-tt28" TargetMode="External"/><Relationship Id="rId16" Type="http://schemas.openxmlformats.org/officeDocument/2006/relationships/hyperlink" Target="https://www.preprints.org/manuscript/202503.2079/v1" TargetMode="External"/><Relationship Id="rId17" Type="http://schemas.openxmlformats.org/officeDocument/2006/relationships/hyperlink" Target="https://doi.org/10.1007/s11263-024-02117-4" TargetMode="External"/><Relationship Id="rId18" Type="http://schemas.openxmlformats.org/officeDocument/2006/relationships/hyperlink" Target="https://doi.org/10.1109/TPAMI.2020.2981604" TargetMode="External"/><Relationship Id="rId19"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table" Target="../tables/table10.xml"/>
</Relationships>
</file>

<file path=xl/worksheets/_rels/sheet10.xml.rels><?xml version="1.0" encoding="UTF-8"?>
<Relationships xmlns="http://schemas.openxmlformats.org/package/2006/relationships"><Relationship Id="rId1" Type="http://schemas.openxmlformats.org/officeDocument/2006/relationships/hyperlink" Target="https://www.etsi.org/deliver/etsi_tr/102300_102399/10237602/01.01.01_60/tr_10237602v010101p.pdf" TargetMode="External"/><Relationship Id="rId2" Type="http://schemas.openxmlformats.org/officeDocument/2006/relationships/hyperlink" Target="https://www.microwavejournal.com/articles/18088-tackling-satellite-interference:" TargetMode="External"/><Relationship Id="rId3" Type="http://schemas.openxmlformats.org/officeDocument/2006/relationships/hyperlink" Target="http://aiac.ae.metu.edu.tr/paper.php/AIAC-2021-015" TargetMode="External"/><Relationship Id="rId4" Type="http://schemas.openxmlformats.org/officeDocument/2006/relationships/hyperlink" Target="https://ieee-dataport.org/documents/gnss-interference-spectrum-highway-dataset-1:" TargetMode="External"/><Relationship Id="rId5" Type="http://schemas.openxmlformats.org/officeDocument/2006/relationships/hyperlink" Target="https://arxiv.org/pdf/2007.10110" TargetMode="External"/><Relationship Id="rId6" Type="http://schemas.openxmlformats.org/officeDocument/2006/relationships/hyperlink" Target="https://arxiv.org/html/2606.14147:" TargetMode="External"/><Relationship Id="rId7" Type="http://schemas.openxmlformats.org/officeDocument/2006/relationships/hyperlink" Target="https://www.satellitetoday.com/connectivity/2005/08/01/satellite-operators-target-interference-problem/:" TargetMode="External"/><Relationship Id="rId8" Type="http://schemas.openxmlformats.org/officeDocument/2006/relationships/hyperlink" Target="https://dl.acm.org/doi/pdf/10.1145/3231884.3231901:" TargetMode="External"/><Relationship Id="rId9" Type="http://schemas.openxmlformats.org/officeDocument/2006/relationships/hyperlink" Target="http://phwl.org/assets/papers/cycloamc_fpt25.pdf" TargetMode="External"/><Relationship Id="rId10" Type="http://schemas.openxmlformats.org/officeDocument/2006/relationships/hyperlink" Target="https://doi.org/10.1109/tmlcn.2024.3418933" TargetMode="External"/><Relationship Id="rId11" Type="http://schemas.openxmlformats.org/officeDocument/2006/relationships/hyperlink" Target="https://orbilu.uni.lu/bitstream/10993/60597/1/Moatssim__ICC__Final.pdf" TargetMode="External"/><Relationship Id="rId12" Type="http://schemas.openxmlformats.org/officeDocument/2006/relationships/hyperlink" Target="https://doi.org/10.1109/mcom.001.2000367:" TargetMode="External"/><Relationship Id="rId13" Type="http://schemas.openxmlformats.org/officeDocument/2006/relationships/hyperlink" Target="https://doi.org/10.1109/acsat63853.2024.10823708" TargetMode="External"/><Relationship Id="rId14" Type="http://schemas.openxmlformats.org/officeDocument/2006/relationships/hyperlink" Target="https://doi.org/10.1049/joe.2015.0178." TargetMode="External"/><Relationship Id="rId15" Type="http://schemas.openxmlformats.org/officeDocument/2006/relationships/hyperlink" Target="https://www.mdpi.com/2226-4310/10/2/101" TargetMode="External"/><Relationship Id="rId16" Type="http://schemas.openxmlformats.org/officeDocument/2006/relationships/hyperlink" Target="https://www.comsatlegacy.com/COMSAT%20Technical%20Review/CTR,%20Cumul.%20Index,%201971-1992.PDF" TargetMode="External"/><Relationship Id="rId17" Type="http://schemas.openxmlformats.org/officeDocument/2006/relationships/hyperlink" Target="https://doi.org/10.1145/3231884.3231901" TargetMode="External"/><Relationship Id="rId18" Type="http://schemas.openxmlformats.org/officeDocument/2006/relationships/hyperlink" Target="https://www.satellitetoday.com/technology/2014/03/26/preventing-adjacent-satellite-interference/:" TargetMode="External"/><Relationship Id="rId19" Type="http://schemas.openxmlformats.org/officeDocument/2006/relationships/table" Target="../tables/table5.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90"/>
  </cols>
  <sheetData>
    <row r="1" customFormat="false" ht="17.35" hidden="false" customHeight="false" outlineLevel="0" collapsed="false">
      <c r="A1" s="1" t="s">
        <v>0</v>
      </c>
    </row>
    <row r="2" customFormat="false" ht="15" hidden="false" customHeight="false" outlineLevel="0" collapsed="false">
      <c r="A2" s="2" t="s">
        <v>1</v>
      </c>
      <c r="B2" s="2"/>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5" t="n">
        <f aca="false">COUNTA(Kaynaklar!A2:A200)</f>
        <v>95</v>
      </c>
    </row>
    <row r="7" customFormat="false" ht="15" hidden="false" customHeight="false" outlineLevel="0" collapsed="false">
      <c r="A7" s="3" t="s">
        <v>7</v>
      </c>
      <c r="B7" s="5" t="n">
        <f aca="false">COUNTIF(Kaynaklar!I2:I200,"verified-registry")</f>
        <v>74</v>
      </c>
    </row>
    <row r="8" customFormat="false" ht="15" hidden="false" customHeight="false" outlineLevel="0" collapsed="false">
      <c r="A8" s="3" t="s">
        <v>8</v>
      </c>
      <c r="B8" s="5" t="n">
        <f aca="false">COUNTIF(Kaynaklar!I2:I200,"verified-publisher")</f>
        <v>8</v>
      </c>
    </row>
    <row r="9" customFormat="false" ht="15" hidden="false" customHeight="false" outlineLevel="0" collapsed="false">
      <c r="A9" s="3" t="s">
        <v>9</v>
      </c>
      <c r="B9" s="5" t="n">
        <f aca="false">COUNTIF(Kaynaklar!I2:I200,"verified-secondary")</f>
        <v>2</v>
      </c>
    </row>
    <row r="10" customFormat="false" ht="15" hidden="false" customHeight="false" outlineLevel="0" collapsed="false">
      <c r="A10" s="3" t="s">
        <v>10</v>
      </c>
      <c r="B10" s="5" t="n">
        <f aca="false">COUNTIF(Kaynaklar!I2:I200,"vendor-or-trade")</f>
        <v>8</v>
      </c>
    </row>
    <row r="11" customFormat="false" ht="15" hidden="false" customHeight="false" outlineLevel="0" collapsed="false">
      <c r="A11" s="3" t="s">
        <v>11</v>
      </c>
      <c r="B11" s="5" t="n">
        <f aca="false">COUNTIF(Kaynaklar!I2:I200,"dataset")</f>
        <v>3</v>
      </c>
    </row>
    <row r="12" customFormat="false" ht="15" hidden="false" customHeight="false" outlineLevel="0" collapsed="false">
      <c r="A12" s="3" t="s">
        <v>12</v>
      </c>
      <c r="B12" s="5" t="n">
        <f aca="false">COUNTA(Düzeltmeler!A2:A200)</f>
        <v>21</v>
      </c>
    </row>
    <row r="13" customFormat="false" ht="15" hidden="false" customHeight="false" outlineLevel="0" collapsed="false">
      <c r="A13" s="3" t="s">
        <v>13</v>
      </c>
      <c r="B13" s="5" t="n">
        <f aca="false">COUNTIF(Düzeltmeler!F2:F200,"Kritik")</f>
        <v>2</v>
      </c>
    </row>
    <row r="14" customFormat="false" ht="15" hidden="false" customHeight="false" outlineLevel="0" collapsed="false">
      <c r="A14" s="3" t="s">
        <v>14</v>
      </c>
      <c r="B14" s="5" t="n">
        <f aca="false">Kontrol!C11</f>
        <v>137</v>
      </c>
    </row>
    <row r="15" customFormat="false" ht="15" hidden="false" customHeight="false" outlineLevel="0" collapsed="false">
      <c r="A15" s="3" t="s">
        <v>15</v>
      </c>
      <c r="B15" s="5" t="n">
        <f aca="false">Kontrol!D11</f>
        <v>2</v>
      </c>
    </row>
    <row r="16" customFormat="false" ht="15" hidden="false" customHeight="false" outlineLevel="0" collapsed="false">
      <c r="A16" s="3" t="s">
        <v>16</v>
      </c>
      <c r="B16" s="5" t="n">
        <f aca="false">COUNTA(Ajanlar!A2:A50)</f>
        <v>2</v>
      </c>
    </row>
    <row r="17" customFormat="false" ht="15" hidden="false" customHeight="false" outlineLevel="0" collapsed="false">
      <c r="A17" s="3" t="s">
        <v>17</v>
      </c>
      <c r="B17" s="5" t="n">
        <f aca="false">COUNTA(Dosyalar!A2:A100)</f>
        <v>23</v>
      </c>
    </row>
    <row r="18" customFormat="false" ht="15" hidden="false" customHeight="false" outlineLevel="0" collapsed="false">
      <c r="A18" s="3" t="s">
        <v>18</v>
      </c>
      <c r="B18" s="5" t="n">
        <f aca="false">COUNTA(Bellek!A2:A50)</f>
        <v>8</v>
      </c>
    </row>
    <row r="19" customFormat="false" ht="15" hidden="false" customHeight="false" outlineLevel="0" collapsed="false">
      <c r="A19" s="3" t="s">
        <v>19</v>
      </c>
      <c r="B19" s="5" t="n">
        <f aca="false">COUNTIF(Bellek!C2:C50,"Evet*")</f>
        <v>4</v>
      </c>
    </row>
    <row r="21" customFormat="false" ht="15" hidden="false" customHeight="false" outlineLevel="0" collapsed="false">
      <c r="A21" s="6" t="s">
        <v>20</v>
      </c>
    </row>
    <row r="22" customFormat="false" ht="15" hidden="false" customHeight="false" outlineLevel="0" collapsed="false">
      <c r="A22" s="3" t="s">
        <v>21</v>
      </c>
      <c r="B22" s="7" t="s">
        <v>22</v>
      </c>
    </row>
    <row r="23" customFormat="false" ht="15" hidden="false" customHeight="false" outlineLevel="0" collapsed="false">
      <c r="A23" s="3" t="s">
        <v>23</v>
      </c>
      <c r="B23" s="7" t="s">
        <v>24</v>
      </c>
    </row>
    <row r="24" customFormat="false" ht="15" hidden="false" customHeight="false" outlineLevel="0" collapsed="false">
      <c r="A24" s="3" t="s">
        <v>25</v>
      </c>
      <c r="B24" s="7" t="s">
        <v>26</v>
      </c>
    </row>
    <row r="25" customFormat="false" ht="15" hidden="false" customHeight="false" outlineLevel="0" collapsed="false">
      <c r="A25" s="3" t="s">
        <v>27</v>
      </c>
      <c r="B25" s="7" t="s">
        <v>28</v>
      </c>
    </row>
    <row r="26" customFormat="false" ht="15" hidden="false" customHeight="false" outlineLevel="0" collapsed="false">
      <c r="A26" s="3" t="s">
        <v>29</v>
      </c>
      <c r="B26" s="7" t="s">
        <v>30</v>
      </c>
    </row>
    <row r="27" customFormat="false" ht="15" hidden="false" customHeight="false" outlineLevel="0" collapsed="false">
      <c r="A27" s="3" t="s">
        <v>31</v>
      </c>
      <c r="B27" s="7" t="s">
        <v>32</v>
      </c>
    </row>
    <row r="28" customFormat="false" ht="15" hidden="false" customHeight="false" outlineLevel="0" collapsed="false">
      <c r="A28" s="3" t="s">
        <v>33</v>
      </c>
      <c r="B28" s="7" t="s">
        <v>34</v>
      </c>
    </row>
    <row r="29" customFormat="false" ht="15" hidden="false" customHeight="false" outlineLevel="0" collapsed="false">
      <c r="A29" s="3" t="s">
        <v>35</v>
      </c>
      <c r="B29" s="7" t="s">
        <v>36</v>
      </c>
    </row>
    <row r="30" customFormat="false" ht="15" hidden="false" customHeight="false" outlineLevel="0" collapsed="false">
      <c r="A30" s="3" t="s">
        <v>37</v>
      </c>
      <c r="B30" s="7" t="s">
        <v>38</v>
      </c>
    </row>
    <row r="31" customFormat="false" ht="15" hidden="false" customHeight="false" outlineLevel="0" collapsed="false">
      <c r="A31" s="3" t="s">
        <v>39</v>
      </c>
      <c r="B31" s="7" t="s">
        <v>40</v>
      </c>
    </row>
  </sheetData>
  <mergeCells count="1">
    <mergeCell ref="A2:B2"/>
  </mergeCells>
  <hyperlinks>
    <hyperlink ref="B4" r:id="rId1" display="https://claude.ai/code/artifact/0ded3fdb-7ec8-44fe-9ac6-10dd01719627"/>
    <hyperlink ref="B5" r:id="rId2" display="https://github.com/mythril33/Payload-Aware-Open-Set-Interference-Recognition-for-GEO-Transpond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14"/>
    <col collapsed="false" customWidth="true" hidden="false" outlineLevel="0" max="5" min="4" style="0" width="60"/>
    <col collapsed="false" customWidth="true" hidden="false" outlineLevel="0" max="6" min="6" style="0" width="10"/>
  </cols>
  <sheetData>
    <row r="1" customFormat="false" ht="26.85" hidden="false" customHeight="false" outlineLevel="0" collapsed="false">
      <c r="A1" s="8" t="s">
        <v>41</v>
      </c>
      <c r="B1" s="8" t="s">
        <v>42</v>
      </c>
      <c r="C1" s="8" t="s">
        <v>43</v>
      </c>
      <c r="D1" s="8" t="s">
        <v>44</v>
      </c>
      <c r="E1" s="8" t="s">
        <v>45</v>
      </c>
      <c r="F1" s="8" t="s">
        <v>46</v>
      </c>
    </row>
    <row r="2" customFormat="false" ht="23.85" hidden="false" customHeight="false" outlineLevel="0" collapsed="false">
      <c r="A2" s="9" t="s">
        <v>47</v>
      </c>
      <c r="B2" s="9" t="s">
        <v>48</v>
      </c>
      <c r="C2" s="9" t="s">
        <v>49</v>
      </c>
      <c r="D2" s="9" t="s">
        <v>50</v>
      </c>
      <c r="E2" s="9" t="s">
        <v>51</v>
      </c>
      <c r="F2" s="9" t="s">
        <v>52</v>
      </c>
    </row>
    <row r="3" customFormat="false" ht="79.85" hidden="false" customHeight="false" outlineLevel="0" collapsed="false">
      <c r="A3" s="10" t="s">
        <v>53</v>
      </c>
      <c r="B3" s="10" t="s">
        <v>54</v>
      </c>
      <c r="C3" s="10" t="s">
        <v>55</v>
      </c>
      <c r="D3" s="10" t="s">
        <v>56</v>
      </c>
      <c r="E3" s="10" t="s">
        <v>57</v>
      </c>
      <c r="F3" s="10"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6"/>
    <col collapsed="false" customWidth="true" hidden="false" outlineLevel="0" max="3" min="3" style="0" width="52"/>
    <col collapsed="false" customWidth="true" hidden="false" outlineLevel="0" max="4" min="4" style="0" width="70"/>
    <col collapsed="false" customWidth="true" hidden="false" outlineLevel="0" max="5" min="5" style="0" width="10"/>
  </cols>
  <sheetData>
    <row r="1" customFormat="false" ht="26.85" hidden="false" customHeight="false" outlineLevel="0" collapsed="false">
      <c r="A1" s="8" t="s">
        <v>59</v>
      </c>
      <c r="B1" s="8" t="s">
        <v>60</v>
      </c>
      <c r="C1" s="8" t="s">
        <v>61</v>
      </c>
      <c r="D1" s="8" t="s">
        <v>62</v>
      </c>
      <c r="E1" s="8" t="s">
        <v>46</v>
      </c>
    </row>
    <row r="2" customFormat="false" ht="23.85" hidden="false" customHeight="false" outlineLevel="0" collapsed="false">
      <c r="A2" s="9" t="s">
        <v>63</v>
      </c>
      <c r="B2" s="9" t="s">
        <v>64</v>
      </c>
      <c r="C2" s="11" t="s">
        <v>3</v>
      </c>
      <c r="D2" s="9" t="s">
        <v>65</v>
      </c>
      <c r="E2" s="9" t="s">
        <v>66</v>
      </c>
    </row>
    <row r="3" customFormat="false" ht="15" hidden="false" customHeight="false" outlineLevel="0" collapsed="false">
      <c r="A3" s="10" t="s">
        <v>67</v>
      </c>
      <c r="B3" s="10" t="s">
        <v>68</v>
      </c>
      <c r="C3" s="10" t="s">
        <v>69</v>
      </c>
      <c r="D3" s="10" t="s">
        <v>70</v>
      </c>
      <c r="E3" s="10" t="s">
        <v>71</v>
      </c>
    </row>
    <row r="4" customFormat="false" ht="23.85" hidden="false" customHeight="false" outlineLevel="0" collapsed="false">
      <c r="A4" s="9" t="s">
        <v>72</v>
      </c>
      <c r="B4" s="9" t="s">
        <v>73</v>
      </c>
      <c r="C4" s="9" t="s">
        <v>74</v>
      </c>
      <c r="D4" s="9" t="s">
        <v>75</v>
      </c>
      <c r="E4" s="9" t="s">
        <v>71</v>
      </c>
    </row>
    <row r="5" customFormat="false" ht="23.85" hidden="false" customHeight="false" outlineLevel="0" collapsed="false">
      <c r="A5" s="10" t="s">
        <v>76</v>
      </c>
      <c r="B5" s="10" t="s">
        <v>77</v>
      </c>
      <c r="C5" s="10" t="s">
        <v>78</v>
      </c>
      <c r="D5" s="10" t="s">
        <v>79</v>
      </c>
      <c r="E5" s="10" t="s">
        <v>71</v>
      </c>
    </row>
    <row r="6" customFormat="false" ht="23.85" hidden="false" customHeight="false" outlineLevel="0" collapsed="false">
      <c r="A6" s="9" t="s">
        <v>80</v>
      </c>
      <c r="B6" s="9" t="s">
        <v>81</v>
      </c>
      <c r="C6" s="11" t="s">
        <v>5</v>
      </c>
      <c r="D6" s="9" t="s">
        <v>82</v>
      </c>
      <c r="E6" s="9" t="s">
        <v>54</v>
      </c>
    </row>
  </sheetData>
  <hyperlinks>
    <hyperlink ref="C2" r:id="rId1" display="https://claude.ai/code/artifact/0ded3fdb-7ec8-44fe-9ac6-10dd01719627"/>
    <hyperlink ref="C6" r:id="rId2" display="https://github.com/mythril33/Payload-Aware-Open-Set-Interference-Recognition-for-GEO-Transpond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6"/>
    <col collapsed="false" customWidth="true" hidden="false" outlineLevel="0" max="2" min="2" style="0" width="10"/>
    <col collapsed="false" customWidth="true" hidden="false" outlineLevel="0" max="3" min="3" style="0" width="80"/>
    <col collapsed="false" customWidth="true" hidden="false" outlineLevel="0" max="4" min="4" style="0" width="13"/>
    <col collapsed="false" customWidth="true" hidden="false" outlineLevel="0" max="5" min="5" style="0" width="9"/>
  </cols>
  <sheetData>
    <row r="1" customFormat="false" ht="26.85" hidden="false" customHeight="false" outlineLevel="0" collapsed="false">
      <c r="A1" s="8" t="s">
        <v>83</v>
      </c>
      <c r="B1" s="8" t="s">
        <v>59</v>
      </c>
      <c r="C1" s="8" t="s">
        <v>84</v>
      </c>
      <c r="D1" s="8" t="s">
        <v>85</v>
      </c>
      <c r="E1" s="8" t="s">
        <v>86</v>
      </c>
    </row>
    <row r="2" customFormat="false" ht="15" hidden="false" customHeight="false" outlineLevel="0" collapsed="false">
      <c r="A2" s="9" t="s">
        <v>87</v>
      </c>
      <c r="B2" s="9" t="s">
        <v>88</v>
      </c>
      <c r="C2" s="9" t="s">
        <v>89</v>
      </c>
      <c r="D2" s="9" t="n">
        <v>38918</v>
      </c>
      <c r="E2" s="9" t="s">
        <v>90</v>
      </c>
    </row>
    <row r="3" customFormat="false" ht="15" hidden="false" customHeight="false" outlineLevel="0" collapsed="false">
      <c r="A3" s="10" t="s">
        <v>91</v>
      </c>
      <c r="B3" s="10" t="s">
        <v>88</v>
      </c>
      <c r="C3" s="10" t="s">
        <v>92</v>
      </c>
      <c r="D3" s="10" t="n">
        <v>21733</v>
      </c>
      <c r="E3" s="10" t="s">
        <v>90</v>
      </c>
    </row>
    <row r="4" customFormat="false" ht="23.85" hidden="false" customHeight="false" outlineLevel="0" collapsed="false">
      <c r="A4" s="9" t="s">
        <v>93</v>
      </c>
      <c r="B4" s="9" t="s">
        <v>94</v>
      </c>
      <c r="C4" s="9" t="s">
        <v>95</v>
      </c>
      <c r="D4" s="9" t="n">
        <v>7199</v>
      </c>
      <c r="E4" s="9" t="s">
        <v>90</v>
      </c>
    </row>
    <row r="5" customFormat="false" ht="23.85" hidden="false" customHeight="false" outlineLevel="0" collapsed="false">
      <c r="A5" s="10" t="s">
        <v>96</v>
      </c>
      <c r="B5" s="10" t="s">
        <v>94</v>
      </c>
      <c r="C5" s="10" t="s">
        <v>97</v>
      </c>
      <c r="D5" s="10" t="n">
        <v>9636</v>
      </c>
      <c r="E5" s="10" t="s">
        <v>90</v>
      </c>
    </row>
    <row r="6" customFormat="false" ht="15" hidden="false" customHeight="false" outlineLevel="0" collapsed="false">
      <c r="A6" s="9" t="s">
        <v>98</v>
      </c>
      <c r="B6" s="9" t="s">
        <v>94</v>
      </c>
      <c r="C6" s="9" t="s">
        <v>99</v>
      </c>
      <c r="D6" s="9" t="n">
        <v>1596</v>
      </c>
      <c r="E6" s="9" t="s">
        <v>90</v>
      </c>
    </row>
    <row r="7" customFormat="false" ht="23.85" hidden="false" customHeight="false" outlineLevel="0" collapsed="false">
      <c r="A7" s="10" t="s">
        <v>100</v>
      </c>
      <c r="B7" s="10" t="s">
        <v>94</v>
      </c>
      <c r="C7" s="10" t="s">
        <v>101</v>
      </c>
      <c r="D7" s="10" t="n">
        <v>18853</v>
      </c>
      <c r="E7" s="10" t="s">
        <v>90</v>
      </c>
    </row>
    <row r="8" customFormat="false" ht="15" hidden="false" customHeight="false" outlineLevel="0" collapsed="false">
      <c r="A8" s="9" t="s">
        <v>102</v>
      </c>
      <c r="B8" s="9" t="s">
        <v>103</v>
      </c>
      <c r="C8" s="9" t="s">
        <v>104</v>
      </c>
      <c r="D8" s="9" t="n">
        <v>22926</v>
      </c>
      <c r="E8" s="9" t="s">
        <v>90</v>
      </c>
    </row>
    <row r="9" customFormat="false" ht="23.85" hidden="false" customHeight="false" outlineLevel="0" collapsed="false">
      <c r="A9" s="10" t="s">
        <v>105</v>
      </c>
      <c r="B9" s="10" t="s">
        <v>103</v>
      </c>
      <c r="C9" s="10" t="s">
        <v>106</v>
      </c>
      <c r="D9" s="10" t="n">
        <v>4556</v>
      </c>
      <c r="E9" s="10" t="s">
        <v>90</v>
      </c>
    </row>
    <row r="10" customFormat="false" ht="15" hidden="false" customHeight="false" outlineLevel="0" collapsed="false">
      <c r="A10" s="9" t="s">
        <v>107</v>
      </c>
      <c r="B10" s="9" t="s">
        <v>103</v>
      </c>
      <c r="C10" s="9" t="s">
        <v>108</v>
      </c>
      <c r="D10" s="9" t="n">
        <v>56769</v>
      </c>
      <c r="E10" s="9" t="s">
        <v>90</v>
      </c>
    </row>
    <row r="11" customFormat="false" ht="15" hidden="false" customHeight="false" outlineLevel="0" collapsed="false">
      <c r="A11" s="10" t="s">
        <v>109</v>
      </c>
      <c r="B11" s="10" t="s">
        <v>103</v>
      </c>
      <c r="C11" s="10" t="s">
        <v>110</v>
      </c>
      <c r="D11" s="10" t="n">
        <v>64803</v>
      </c>
      <c r="E11" s="10" t="s">
        <v>90</v>
      </c>
    </row>
    <row r="12" customFormat="false" ht="15" hidden="false" customHeight="false" outlineLevel="0" collapsed="false">
      <c r="A12" s="9" t="s">
        <v>111</v>
      </c>
      <c r="B12" s="9" t="s">
        <v>103</v>
      </c>
      <c r="C12" s="9" t="s">
        <v>112</v>
      </c>
      <c r="D12" s="9" t="n">
        <v>64809</v>
      </c>
      <c r="E12" s="9" t="s">
        <v>90</v>
      </c>
    </row>
    <row r="13" customFormat="false" ht="15" hidden="false" customHeight="false" outlineLevel="0" collapsed="false">
      <c r="A13" s="10" t="s">
        <v>113</v>
      </c>
      <c r="B13" s="10" t="s">
        <v>103</v>
      </c>
      <c r="C13" s="10" t="s">
        <v>114</v>
      </c>
      <c r="D13" s="10" t="n">
        <v>71888</v>
      </c>
      <c r="E13" s="10" t="s">
        <v>90</v>
      </c>
    </row>
    <row r="14" customFormat="false" ht="23.85" hidden="false" customHeight="false" outlineLevel="0" collapsed="false">
      <c r="A14" s="9" t="s">
        <v>115</v>
      </c>
      <c r="B14" s="9" t="s">
        <v>88</v>
      </c>
      <c r="C14" s="9" t="s">
        <v>116</v>
      </c>
      <c r="D14" s="9" t="n">
        <v>27827</v>
      </c>
      <c r="E14" s="9" t="s">
        <v>90</v>
      </c>
    </row>
    <row r="15" customFormat="false" ht="23.85" hidden="false" customHeight="false" outlineLevel="0" collapsed="false">
      <c r="A15" s="10" t="s">
        <v>117</v>
      </c>
      <c r="B15" s="10" t="s">
        <v>88</v>
      </c>
      <c r="C15" s="10" t="s">
        <v>118</v>
      </c>
      <c r="D15" s="10" t="n">
        <v>4226</v>
      </c>
      <c r="E15" s="10" t="s">
        <v>90</v>
      </c>
    </row>
    <row r="16" customFormat="false" ht="15" hidden="false" customHeight="false" outlineLevel="0" collapsed="false">
      <c r="A16" s="9" t="s">
        <v>119</v>
      </c>
      <c r="B16" s="9" t="s">
        <v>94</v>
      </c>
      <c r="C16" s="9" t="s">
        <v>120</v>
      </c>
      <c r="D16" s="9" t="n">
        <v>2961</v>
      </c>
      <c r="E16" s="9" t="s">
        <v>90</v>
      </c>
    </row>
    <row r="17" customFormat="false" ht="15" hidden="false" customHeight="false" outlineLevel="0" collapsed="false">
      <c r="A17" s="10" t="s">
        <v>121</v>
      </c>
      <c r="B17" s="10" t="s">
        <v>94</v>
      </c>
      <c r="C17" s="10" t="s">
        <v>122</v>
      </c>
      <c r="D17" s="10" t="n">
        <v>1444</v>
      </c>
      <c r="E17" s="10" t="s">
        <v>90</v>
      </c>
    </row>
    <row r="18" customFormat="false" ht="23.85" hidden="false" customHeight="false" outlineLevel="0" collapsed="false">
      <c r="A18" s="9" t="s">
        <v>57</v>
      </c>
      <c r="B18" s="9" t="s">
        <v>103</v>
      </c>
      <c r="C18" s="9" t="s">
        <v>123</v>
      </c>
      <c r="D18" s="9" t="n">
        <v>43448</v>
      </c>
      <c r="E18" s="9" t="s">
        <v>90</v>
      </c>
    </row>
    <row r="19" customFormat="false" ht="15" hidden="false" customHeight="false" outlineLevel="0" collapsed="false">
      <c r="A19" s="10" t="s">
        <v>124</v>
      </c>
      <c r="B19" s="10" t="s">
        <v>88</v>
      </c>
      <c r="C19" s="10" t="s">
        <v>125</v>
      </c>
      <c r="D19" s="10" t="n">
        <v>16177</v>
      </c>
      <c r="E19" s="10" t="s">
        <v>90</v>
      </c>
    </row>
    <row r="20" customFormat="false" ht="15" hidden="false" customHeight="false" outlineLevel="0" collapsed="false">
      <c r="A20" s="9" t="s">
        <v>126</v>
      </c>
      <c r="B20" s="9" t="s">
        <v>127</v>
      </c>
      <c r="C20" s="9" t="s">
        <v>128</v>
      </c>
      <c r="D20" s="9" t="n">
        <v>16257</v>
      </c>
      <c r="E20" s="9" t="s">
        <v>90</v>
      </c>
    </row>
    <row r="21" customFormat="false" ht="15" hidden="false" customHeight="false" outlineLevel="0" collapsed="false">
      <c r="A21" s="10" t="s">
        <v>129</v>
      </c>
      <c r="B21" s="10" t="s">
        <v>88</v>
      </c>
      <c r="C21" s="10" t="s">
        <v>130</v>
      </c>
      <c r="D21" s="10" t="n">
        <v>595</v>
      </c>
      <c r="E21" s="10" t="s">
        <v>90</v>
      </c>
    </row>
    <row r="22" customFormat="false" ht="15" hidden="false" customHeight="false" outlineLevel="0" collapsed="false">
      <c r="A22" s="9" t="s">
        <v>131</v>
      </c>
      <c r="B22" s="9" t="s">
        <v>94</v>
      </c>
      <c r="C22" s="9" t="s">
        <v>132</v>
      </c>
      <c r="D22" s="9" t="n">
        <v>2260</v>
      </c>
      <c r="E22" s="9" t="s">
        <v>90</v>
      </c>
    </row>
    <row r="23" customFormat="false" ht="15" hidden="false" customHeight="false" outlineLevel="0" collapsed="false">
      <c r="A23" s="10" t="s">
        <v>133</v>
      </c>
      <c r="B23" s="10" t="s">
        <v>88</v>
      </c>
      <c r="C23" s="10" t="s">
        <v>134</v>
      </c>
      <c r="D23" s="10" t="n">
        <v>22543</v>
      </c>
      <c r="E23" s="10" t="s">
        <v>90</v>
      </c>
    </row>
    <row r="24" customFormat="false" ht="15" hidden="false" customHeight="false" outlineLevel="0" collapsed="false">
      <c r="A24" s="9" t="s">
        <v>135</v>
      </c>
      <c r="B24" s="9" t="s">
        <v>127</v>
      </c>
      <c r="C24" s="9" t="s">
        <v>136</v>
      </c>
      <c r="D24" s="9" t="n">
        <v>9687</v>
      </c>
      <c r="E24" s="9"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52"/>
    <col collapsed="false" customWidth="true" hidden="false" outlineLevel="0" max="3" min="3" style="0" width="14"/>
    <col collapsed="false" customWidth="true" hidden="false" outlineLevel="0" max="4" min="4" style="0" width="46"/>
    <col collapsed="false" customWidth="true" hidden="false" outlineLevel="0" max="5" min="5" style="0" width="90"/>
  </cols>
  <sheetData>
    <row r="1" customFormat="false" ht="52.2" hidden="false" customHeight="false" outlineLevel="0" collapsed="false">
      <c r="A1" s="8" t="s">
        <v>83</v>
      </c>
      <c r="B1" s="8" t="s">
        <v>137</v>
      </c>
      <c r="C1" s="8" t="s">
        <v>138</v>
      </c>
      <c r="D1" s="8" t="s">
        <v>139</v>
      </c>
      <c r="E1" s="8" t="s">
        <v>62</v>
      </c>
    </row>
    <row r="2" customFormat="false" ht="169.4" hidden="false" customHeight="false" outlineLevel="0" collapsed="false">
      <c r="A2" s="9" t="s">
        <v>140</v>
      </c>
      <c r="B2" s="9" t="s">
        <v>141</v>
      </c>
      <c r="C2" s="9" t="s">
        <v>142</v>
      </c>
      <c r="D2" s="9" t="s">
        <v>143</v>
      </c>
      <c r="E2" s="9" t="s">
        <v>144</v>
      </c>
    </row>
    <row r="3" customFormat="false" ht="15" hidden="false" customHeight="false" outlineLevel="0" collapsed="false">
      <c r="A3" s="10" t="s">
        <v>145</v>
      </c>
      <c r="B3" s="10" t="s">
        <v>146</v>
      </c>
      <c r="C3" s="10" t="s">
        <v>147</v>
      </c>
      <c r="D3" s="10" t="s">
        <v>148</v>
      </c>
      <c r="E3" s="10" t="s">
        <v>149</v>
      </c>
    </row>
    <row r="4" customFormat="false" ht="113.4" hidden="false" customHeight="false" outlineLevel="0" collapsed="false">
      <c r="A4" s="9" t="s">
        <v>150</v>
      </c>
      <c r="B4" s="9" t="s">
        <v>151</v>
      </c>
      <c r="C4" s="9" t="s">
        <v>142</v>
      </c>
      <c r="D4" s="9" t="s">
        <v>152</v>
      </c>
      <c r="E4" s="9" t="s">
        <v>153</v>
      </c>
    </row>
    <row r="5" customFormat="false" ht="79.85" hidden="false" customHeight="false" outlineLevel="0" collapsed="false">
      <c r="A5" s="10" t="s">
        <v>154</v>
      </c>
      <c r="B5" s="10" t="s">
        <v>155</v>
      </c>
      <c r="C5" s="10" t="s">
        <v>156</v>
      </c>
      <c r="D5" s="10" t="s">
        <v>157</v>
      </c>
      <c r="E5" s="10" t="s">
        <v>158</v>
      </c>
    </row>
    <row r="6" customFormat="false" ht="15" hidden="false" customHeight="false" outlineLevel="0" collapsed="false">
      <c r="A6" s="9" t="s">
        <v>159</v>
      </c>
      <c r="B6" s="9" t="s">
        <v>160</v>
      </c>
      <c r="C6" s="9" t="s">
        <v>161</v>
      </c>
      <c r="D6" s="9" t="s">
        <v>162</v>
      </c>
      <c r="E6" s="9" t="s">
        <v>163</v>
      </c>
    </row>
    <row r="7" customFormat="false" ht="15" hidden="false" customHeight="false" outlineLevel="0" collapsed="false">
      <c r="A7" s="10" t="s">
        <v>164</v>
      </c>
      <c r="B7" s="10" t="s">
        <v>165</v>
      </c>
      <c r="C7" s="10" t="s">
        <v>161</v>
      </c>
      <c r="D7" s="10" t="s">
        <v>162</v>
      </c>
      <c r="E7" s="10" t="s">
        <v>163</v>
      </c>
    </row>
    <row r="8" customFormat="false" ht="15" hidden="false" customHeight="false" outlineLevel="0" collapsed="false">
      <c r="A8" s="9" t="s">
        <v>166</v>
      </c>
      <c r="B8" s="9" t="s">
        <v>167</v>
      </c>
      <c r="C8" s="9" t="s">
        <v>161</v>
      </c>
      <c r="D8" s="9" t="s">
        <v>162</v>
      </c>
      <c r="E8" s="9" t="s">
        <v>163</v>
      </c>
    </row>
    <row r="9" customFormat="false" ht="15" hidden="false" customHeight="false" outlineLevel="0" collapsed="false">
      <c r="A9" s="10" t="s">
        <v>168</v>
      </c>
      <c r="B9" s="10" t="s">
        <v>169</v>
      </c>
      <c r="C9" s="10" t="s">
        <v>161</v>
      </c>
      <c r="D9" s="10" t="s">
        <v>162</v>
      </c>
      <c r="E9" s="10"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90"/>
    <col collapsed="false" customWidth="true" hidden="false" outlineLevel="0" max="3" min="3" style="0" width="10"/>
  </cols>
  <sheetData>
    <row r="1" customFormat="false" ht="26.85" hidden="false" customHeight="false" outlineLevel="0" collapsed="false">
      <c r="A1" s="8" t="s">
        <v>170</v>
      </c>
      <c r="B1" s="8" t="s">
        <v>171</v>
      </c>
      <c r="C1" s="8" t="s">
        <v>46</v>
      </c>
    </row>
    <row r="2" customFormat="false" ht="15" hidden="false" customHeight="false" outlineLevel="0" collapsed="false">
      <c r="A2" s="9" t="s">
        <v>172</v>
      </c>
      <c r="B2" s="9" t="s">
        <v>173</v>
      </c>
      <c r="C2" s="9" t="s">
        <v>52</v>
      </c>
    </row>
    <row r="3" customFormat="false" ht="15" hidden="false" customHeight="false" outlineLevel="0" collapsed="false">
      <c r="A3" s="10" t="s">
        <v>174</v>
      </c>
      <c r="B3" s="10" t="s">
        <v>175</v>
      </c>
      <c r="C3" s="10" t="s">
        <v>66</v>
      </c>
    </row>
    <row r="4" customFormat="false" ht="15" hidden="false" customHeight="false" outlineLevel="0" collapsed="false">
      <c r="A4" s="9" t="s">
        <v>176</v>
      </c>
      <c r="B4" s="9" t="s">
        <v>177</v>
      </c>
      <c r="C4" s="9" t="s">
        <v>71</v>
      </c>
    </row>
    <row r="5" customFormat="false" ht="15" hidden="false" customHeight="false" outlineLevel="0" collapsed="false">
      <c r="A5" s="10" t="s">
        <v>178</v>
      </c>
      <c r="B5" s="10" t="s">
        <v>179</v>
      </c>
      <c r="C5" s="10" t="s">
        <v>58</v>
      </c>
    </row>
    <row r="6" customFormat="false" ht="15" hidden="false" customHeight="false" outlineLevel="0" collapsed="false">
      <c r="A6" s="9" t="s">
        <v>180</v>
      </c>
      <c r="B6" s="9" t="s">
        <v>181</v>
      </c>
      <c r="C6" s="9" t="s">
        <v>58</v>
      </c>
    </row>
    <row r="7" customFormat="false" ht="15" hidden="false" customHeight="false" outlineLevel="0" collapsed="false">
      <c r="A7" s="10" t="s">
        <v>182</v>
      </c>
      <c r="B7" s="10" t="s">
        <v>183</v>
      </c>
      <c r="C7" s="10" t="s">
        <v>58</v>
      </c>
    </row>
    <row r="8" customFormat="false" ht="15" hidden="false" customHeight="false" outlineLevel="0" collapsed="false">
      <c r="A8" s="9" t="s">
        <v>184</v>
      </c>
      <c r="B8" s="9" t="s">
        <v>185</v>
      </c>
      <c r="C8" s="9" t="s">
        <v>58</v>
      </c>
    </row>
    <row r="9" customFormat="false" ht="15" hidden="false" customHeight="false" outlineLevel="0" collapsed="false">
      <c r="A9" s="10" t="s">
        <v>186</v>
      </c>
      <c r="B9" s="10" t="s">
        <v>187</v>
      </c>
      <c r="C9" s="10" t="s">
        <v>66</v>
      </c>
    </row>
    <row r="10" customFormat="false" ht="15" hidden="false" customHeight="false" outlineLevel="0" collapsed="false">
      <c r="A10" s="9" t="s">
        <v>188</v>
      </c>
      <c r="B10" s="9" t="s">
        <v>189</v>
      </c>
      <c r="C10" s="9" t="s">
        <v>58</v>
      </c>
    </row>
    <row r="11" customFormat="false" ht="15" hidden="false" customHeight="false" outlineLevel="0" collapsed="false">
      <c r="A11" s="10" t="s">
        <v>190</v>
      </c>
      <c r="B11" s="10" t="s">
        <v>191</v>
      </c>
      <c r="C11" s="10" t="s">
        <v>66</v>
      </c>
    </row>
    <row r="12" customFormat="false" ht="15" hidden="false" customHeight="false" outlineLevel="0" collapsed="false">
      <c r="A12" s="9" t="s">
        <v>192</v>
      </c>
      <c r="B12" s="9" t="s">
        <v>193</v>
      </c>
      <c r="C12" s="9"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60"/>
    <col collapsed="false" customWidth="true" hidden="false" outlineLevel="0" max="4" min="4" style="0" width="40"/>
    <col collapsed="false" customWidth="true" hidden="false" outlineLevel="0" max="5" min="5" style="0" width="7"/>
    <col collapsed="false" customWidth="true" hidden="false" outlineLevel="0" max="6" min="6" style="0" width="30"/>
    <col collapsed="false" customWidth="true" hidden="false" outlineLevel="0" max="7" min="7" style="0" width="13"/>
    <col collapsed="false" customWidth="true" hidden="false" outlineLevel="0" max="8" min="8" style="0" width="40"/>
    <col collapsed="false" customWidth="true" hidden="false" outlineLevel="0" max="9" min="9" style="0" width="18"/>
    <col collapsed="false" customWidth="true" hidden="false" outlineLevel="0" max="10" min="10" style="0" width="46"/>
    <col collapsed="false" customWidth="true" hidden="false" outlineLevel="0" max="11" min="11" style="0" width="30"/>
  </cols>
  <sheetData>
    <row r="1" customFormat="false" ht="26.85" hidden="false" customHeight="false" outlineLevel="0" collapsed="false">
      <c r="A1" s="8" t="s">
        <v>194</v>
      </c>
      <c r="B1" s="8" t="s">
        <v>195</v>
      </c>
      <c r="C1" s="8" t="s">
        <v>196</v>
      </c>
      <c r="D1" s="8" t="s">
        <v>197</v>
      </c>
      <c r="E1" s="8" t="s">
        <v>198</v>
      </c>
      <c r="F1" s="8" t="s">
        <v>199</v>
      </c>
      <c r="G1" s="8" t="s">
        <v>200</v>
      </c>
      <c r="H1" s="8" t="s">
        <v>201</v>
      </c>
      <c r="I1" s="8" t="s">
        <v>202</v>
      </c>
      <c r="J1" s="8" t="s">
        <v>203</v>
      </c>
      <c r="K1" s="8" t="s">
        <v>204</v>
      </c>
    </row>
    <row r="2" customFormat="false" ht="15" hidden="false" customHeight="false" outlineLevel="0" collapsed="false">
      <c r="A2" s="9" t="n">
        <v>1</v>
      </c>
      <c r="B2" s="9" t="s">
        <v>205</v>
      </c>
      <c r="C2" s="9" t="s">
        <v>206</v>
      </c>
      <c r="D2" s="9" t="s">
        <v>207</v>
      </c>
      <c r="E2" s="9" t="s">
        <v>208</v>
      </c>
      <c r="F2" s="9"/>
      <c r="G2" s="9"/>
      <c r="H2" s="11" t="s">
        <v>209</v>
      </c>
      <c r="I2" s="9" t="s">
        <v>210</v>
      </c>
      <c r="J2" s="11" t="s">
        <v>209</v>
      </c>
      <c r="K2" s="9"/>
    </row>
    <row r="3" customFormat="false" ht="35.05" hidden="false" customHeight="false" outlineLevel="0" collapsed="false">
      <c r="A3" s="10" t="n">
        <v>2</v>
      </c>
      <c r="B3" s="10" t="s">
        <v>211</v>
      </c>
      <c r="C3" s="10" t="s">
        <v>212</v>
      </c>
      <c r="D3" s="10" t="s">
        <v>213</v>
      </c>
      <c r="E3" s="10" t="s">
        <v>214</v>
      </c>
      <c r="F3" s="10"/>
      <c r="G3" s="10"/>
      <c r="H3" s="12" t="s">
        <v>215</v>
      </c>
      <c r="I3" s="10" t="s">
        <v>210</v>
      </c>
      <c r="J3" s="12" t="s">
        <v>215</v>
      </c>
      <c r="K3" s="10" t="s">
        <v>216</v>
      </c>
    </row>
    <row r="4" customFormat="false" ht="15" hidden="false" customHeight="false" outlineLevel="0" collapsed="false">
      <c r="A4" s="9" t="n">
        <v>3</v>
      </c>
      <c r="B4" s="9" t="s">
        <v>217</v>
      </c>
      <c r="C4" s="9" t="s">
        <v>218</v>
      </c>
      <c r="D4" s="9" t="s">
        <v>219</v>
      </c>
      <c r="E4" s="9"/>
      <c r="F4" s="9"/>
      <c r="G4" s="9"/>
      <c r="H4" s="11" t="s">
        <v>220</v>
      </c>
      <c r="I4" s="9" t="s">
        <v>210</v>
      </c>
      <c r="J4" s="11" t="s">
        <v>220</v>
      </c>
      <c r="K4" s="9"/>
    </row>
    <row r="5" customFormat="false" ht="35.05" hidden="false" customHeight="false" outlineLevel="0" collapsed="false">
      <c r="A5" s="10" t="n">
        <v>4</v>
      </c>
      <c r="B5" s="10" t="s">
        <v>221</v>
      </c>
      <c r="C5" s="10" t="s">
        <v>222</v>
      </c>
      <c r="D5" s="10" t="s">
        <v>223</v>
      </c>
      <c r="E5" s="10" t="s">
        <v>224</v>
      </c>
      <c r="F5" s="10"/>
      <c r="G5" s="10" t="s">
        <v>225</v>
      </c>
      <c r="H5" s="12" t="s">
        <v>226</v>
      </c>
      <c r="I5" s="10" t="s">
        <v>227</v>
      </c>
      <c r="J5" s="12" t="s">
        <v>226</v>
      </c>
      <c r="K5" s="10"/>
    </row>
    <row r="6" customFormat="false" ht="23.85" hidden="false" customHeight="false" outlineLevel="0" collapsed="false">
      <c r="A6" s="9" t="n">
        <v>5</v>
      </c>
      <c r="B6" s="9" t="s">
        <v>217</v>
      </c>
      <c r="C6" s="9" t="s">
        <v>228</v>
      </c>
      <c r="D6" s="9" t="s">
        <v>229</v>
      </c>
      <c r="E6" s="9" t="s">
        <v>230</v>
      </c>
      <c r="F6" s="9"/>
      <c r="G6" s="9"/>
      <c r="H6" s="11" t="s">
        <v>231</v>
      </c>
      <c r="I6" s="9" t="s">
        <v>210</v>
      </c>
      <c r="J6" s="11" t="s">
        <v>231</v>
      </c>
      <c r="K6" s="9"/>
    </row>
    <row r="7" customFormat="false" ht="35.05" hidden="false" customHeight="false" outlineLevel="0" collapsed="false">
      <c r="A7" s="10" t="n">
        <v>6</v>
      </c>
      <c r="B7" s="10" t="s">
        <v>232</v>
      </c>
      <c r="C7" s="10" t="s">
        <v>233</v>
      </c>
      <c r="D7" s="10" t="s">
        <v>234</v>
      </c>
      <c r="E7" s="10" t="s">
        <v>235</v>
      </c>
      <c r="F7" s="10" t="s">
        <v>236</v>
      </c>
      <c r="G7" s="10"/>
      <c r="H7" s="12" t="s">
        <v>237</v>
      </c>
      <c r="I7" s="10" t="s">
        <v>227</v>
      </c>
      <c r="J7" s="12" t="s">
        <v>238</v>
      </c>
      <c r="K7" s="10" t="s">
        <v>239</v>
      </c>
    </row>
    <row r="8" customFormat="false" ht="23.85" hidden="false" customHeight="false" outlineLevel="0" collapsed="false">
      <c r="A8" s="9" t="n">
        <v>7</v>
      </c>
      <c r="B8" s="9" t="s">
        <v>240</v>
      </c>
      <c r="C8" s="9" t="s">
        <v>241</v>
      </c>
      <c r="D8" s="9" t="s">
        <v>200</v>
      </c>
      <c r="E8" s="9" t="s">
        <v>242</v>
      </c>
      <c r="F8" s="9"/>
      <c r="G8" s="9" t="s">
        <v>243</v>
      </c>
      <c r="H8" s="11" t="s">
        <v>244</v>
      </c>
      <c r="I8" s="9" t="s">
        <v>227</v>
      </c>
      <c r="J8" s="11" t="s">
        <v>244</v>
      </c>
      <c r="K8" s="9"/>
    </row>
    <row r="9" customFormat="false" ht="23.85" hidden="false" customHeight="false" outlineLevel="0" collapsed="false">
      <c r="A9" s="10" t="n">
        <v>8</v>
      </c>
      <c r="B9" s="10" t="s">
        <v>245</v>
      </c>
      <c r="C9" s="10" t="s">
        <v>246</v>
      </c>
      <c r="D9" s="10" t="s">
        <v>247</v>
      </c>
      <c r="E9" s="10" t="s">
        <v>248</v>
      </c>
      <c r="F9" s="10" t="s">
        <v>249</v>
      </c>
      <c r="G9" s="10"/>
      <c r="H9" s="12" t="s">
        <v>250</v>
      </c>
      <c r="I9" s="10" t="s">
        <v>227</v>
      </c>
      <c r="J9" s="12" t="s">
        <v>251</v>
      </c>
      <c r="K9" s="10"/>
    </row>
    <row r="10" customFormat="false" ht="23.85" hidden="false" customHeight="false" outlineLevel="0" collapsed="false">
      <c r="A10" s="9" t="n">
        <v>9</v>
      </c>
      <c r="B10" s="9" t="s">
        <v>245</v>
      </c>
      <c r="C10" s="9" t="s">
        <v>252</v>
      </c>
      <c r="D10" s="9" t="s">
        <v>253</v>
      </c>
      <c r="E10" s="9" t="s">
        <v>254</v>
      </c>
      <c r="F10" s="9" t="s">
        <v>255</v>
      </c>
      <c r="G10" s="9"/>
      <c r="H10" s="11" t="s">
        <v>256</v>
      </c>
      <c r="I10" s="9" t="s">
        <v>227</v>
      </c>
      <c r="J10" s="11" t="s">
        <v>257</v>
      </c>
      <c r="K10" s="9"/>
    </row>
    <row r="11" customFormat="false" ht="23.85" hidden="false" customHeight="false" outlineLevel="0" collapsed="false">
      <c r="A11" s="10" t="n">
        <v>10</v>
      </c>
      <c r="B11" s="10" t="s">
        <v>258</v>
      </c>
      <c r="C11" s="10" t="s">
        <v>259</v>
      </c>
      <c r="D11" s="10" t="s">
        <v>260</v>
      </c>
      <c r="E11" s="10" t="s">
        <v>261</v>
      </c>
      <c r="F11" s="10"/>
      <c r="G11" s="10"/>
      <c r="H11" s="10"/>
      <c r="I11" s="10" t="s">
        <v>262</v>
      </c>
      <c r="J11" s="10" t="s">
        <v>263</v>
      </c>
      <c r="K11" s="10"/>
    </row>
    <row r="12" customFormat="false" ht="23.85" hidden="false" customHeight="false" outlineLevel="0" collapsed="false">
      <c r="A12" s="9" t="n">
        <v>11</v>
      </c>
      <c r="B12" s="9" t="s">
        <v>264</v>
      </c>
      <c r="C12" s="9" t="s">
        <v>265</v>
      </c>
      <c r="D12" s="9" t="s">
        <v>266</v>
      </c>
      <c r="E12" s="9" t="s">
        <v>267</v>
      </c>
      <c r="F12" s="9" t="s">
        <v>268</v>
      </c>
      <c r="G12" s="9"/>
      <c r="H12" s="11" t="s">
        <v>269</v>
      </c>
      <c r="I12" s="9" t="s">
        <v>227</v>
      </c>
      <c r="J12" s="11" t="s">
        <v>270</v>
      </c>
      <c r="K12" s="9"/>
    </row>
    <row r="13" customFormat="false" ht="23.85" hidden="false" customHeight="false" outlineLevel="0" collapsed="false">
      <c r="A13" s="10" t="n">
        <v>12</v>
      </c>
      <c r="B13" s="10" t="s">
        <v>271</v>
      </c>
      <c r="C13" s="10" t="s">
        <v>272</v>
      </c>
      <c r="D13" s="10" t="s">
        <v>273</v>
      </c>
      <c r="E13" s="10" t="s">
        <v>274</v>
      </c>
      <c r="F13" s="10" t="s">
        <v>275</v>
      </c>
      <c r="G13" s="10"/>
      <c r="H13" s="12" t="s">
        <v>276</v>
      </c>
      <c r="I13" s="10" t="s">
        <v>227</v>
      </c>
      <c r="J13" s="12" t="s">
        <v>277</v>
      </c>
      <c r="K13" s="10"/>
    </row>
    <row r="14" customFormat="false" ht="23.85" hidden="false" customHeight="false" outlineLevel="0" collapsed="false">
      <c r="A14" s="9" t="n">
        <v>13</v>
      </c>
      <c r="B14" s="9" t="s">
        <v>278</v>
      </c>
      <c r="C14" s="9" t="s">
        <v>279</v>
      </c>
      <c r="D14" s="9" t="s">
        <v>280</v>
      </c>
      <c r="E14" s="9" t="s">
        <v>281</v>
      </c>
      <c r="F14" s="9"/>
      <c r="G14" s="9"/>
      <c r="H14" s="11" t="s">
        <v>282</v>
      </c>
      <c r="I14" s="9" t="s">
        <v>283</v>
      </c>
      <c r="J14" s="11" t="s">
        <v>282</v>
      </c>
      <c r="K14" s="9"/>
    </row>
    <row r="15" customFormat="false" ht="15" hidden="false" customHeight="false" outlineLevel="0" collapsed="false">
      <c r="A15" s="10" t="n">
        <v>14</v>
      </c>
      <c r="B15" s="10" t="s">
        <v>284</v>
      </c>
      <c r="C15" s="10" t="s">
        <v>285</v>
      </c>
      <c r="D15" s="10" t="s">
        <v>207</v>
      </c>
      <c r="E15" s="10" t="s">
        <v>281</v>
      </c>
      <c r="F15" s="10"/>
      <c r="G15" s="10"/>
      <c r="H15" s="12" t="s">
        <v>286</v>
      </c>
      <c r="I15" s="10" t="s">
        <v>210</v>
      </c>
      <c r="J15" s="12" t="s">
        <v>286</v>
      </c>
      <c r="K15" s="10"/>
    </row>
    <row r="16" customFormat="false" ht="15" hidden="false" customHeight="false" outlineLevel="0" collapsed="false">
      <c r="A16" s="9" t="n">
        <v>15</v>
      </c>
      <c r="B16" s="9" t="s">
        <v>287</v>
      </c>
      <c r="C16" s="9" t="s">
        <v>288</v>
      </c>
      <c r="D16" s="9" t="s">
        <v>289</v>
      </c>
      <c r="E16" s="9"/>
      <c r="F16" s="9"/>
      <c r="G16" s="9"/>
      <c r="H16" s="11" t="s">
        <v>290</v>
      </c>
      <c r="I16" s="9" t="s">
        <v>210</v>
      </c>
      <c r="J16" s="11" t="s">
        <v>290</v>
      </c>
      <c r="K16" s="9"/>
    </row>
    <row r="17" customFormat="false" ht="15" hidden="false" customHeight="false" outlineLevel="0" collapsed="false">
      <c r="A17" s="10" t="n">
        <v>16</v>
      </c>
      <c r="B17" s="10" t="s">
        <v>291</v>
      </c>
      <c r="C17" s="10" t="s">
        <v>292</v>
      </c>
      <c r="D17" s="10" t="s">
        <v>289</v>
      </c>
      <c r="E17" s="10"/>
      <c r="F17" s="10"/>
      <c r="G17" s="10"/>
      <c r="H17" s="12" t="s">
        <v>293</v>
      </c>
      <c r="I17" s="10" t="s">
        <v>210</v>
      </c>
      <c r="J17" s="12" t="s">
        <v>293</v>
      </c>
      <c r="K17" s="10"/>
    </row>
    <row r="18" customFormat="false" ht="15" hidden="false" customHeight="false" outlineLevel="0" collapsed="false">
      <c r="A18" s="9" t="n">
        <v>17</v>
      </c>
      <c r="B18" s="9" t="s">
        <v>294</v>
      </c>
      <c r="C18" s="9" t="s">
        <v>295</v>
      </c>
      <c r="D18" s="9" t="s">
        <v>289</v>
      </c>
      <c r="E18" s="9"/>
      <c r="F18" s="9"/>
      <c r="G18" s="9"/>
      <c r="H18" s="11" t="s">
        <v>296</v>
      </c>
      <c r="I18" s="9" t="s">
        <v>210</v>
      </c>
      <c r="J18" s="11" t="s">
        <v>296</v>
      </c>
      <c r="K18" s="9"/>
    </row>
    <row r="19" customFormat="false" ht="23.85" hidden="false" customHeight="false" outlineLevel="0" collapsed="false">
      <c r="A19" s="10" t="n">
        <v>18</v>
      </c>
      <c r="B19" s="10" t="s">
        <v>297</v>
      </c>
      <c r="C19" s="10" t="s">
        <v>298</v>
      </c>
      <c r="D19" s="10" t="s">
        <v>247</v>
      </c>
      <c r="E19" s="10" t="s">
        <v>224</v>
      </c>
      <c r="F19" s="10" t="s">
        <v>299</v>
      </c>
      <c r="G19" s="10" t="s">
        <v>300</v>
      </c>
      <c r="H19" s="12" t="s">
        <v>301</v>
      </c>
      <c r="I19" s="10" t="s">
        <v>227</v>
      </c>
      <c r="J19" s="12" t="s">
        <v>302</v>
      </c>
      <c r="K19" s="10"/>
    </row>
    <row r="20" customFormat="false" ht="23.85" hidden="false" customHeight="false" outlineLevel="0" collapsed="false">
      <c r="A20" s="9" t="n">
        <v>19</v>
      </c>
      <c r="B20" s="9" t="s">
        <v>303</v>
      </c>
      <c r="C20" s="9" t="s">
        <v>304</v>
      </c>
      <c r="D20" s="9" t="s">
        <v>305</v>
      </c>
      <c r="E20" s="9" t="s">
        <v>224</v>
      </c>
      <c r="F20" s="9"/>
      <c r="G20" s="9" t="s">
        <v>306</v>
      </c>
      <c r="H20" s="11" t="s">
        <v>307</v>
      </c>
      <c r="I20" s="9" t="s">
        <v>227</v>
      </c>
      <c r="J20" s="11" t="s">
        <v>307</v>
      </c>
      <c r="K20" s="9"/>
    </row>
    <row r="21" customFormat="false" ht="23.85" hidden="false" customHeight="false" outlineLevel="0" collapsed="false">
      <c r="A21" s="10" t="n">
        <v>20</v>
      </c>
      <c r="B21" s="10" t="s">
        <v>308</v>
      </c>
      <c r="C21" s="10" t="s">
        <v>309</v>
      </c>
      <c r="D21" s="10" t="s">
        <v>310</v>
      </c>
      <c r="E21" s="10" t="s">
        <v>311</v>
      </c>
      <c r="F21" s="10" t="s">
        <v>312</v>
      </c>
      <c r="G21" s="10"/>
      <c r="H21" s="12" t="s">
        <v>313</v>
      </c>
      <c r="I21" s="10" t="s">
        <v>227</v>
      </c>
      <c r="J21" s="12" t="s">
        <v>314</v>
      </c>
      <c r="K21" s="10"/>
    </row>
    <row r="22" customFormat="false" ht="23.85" hidden="false" customHeight="false" outlineLevel="0" collapsed="false">
      <c r="A22" s="9" t="n">
        <v>21</v>
      </c>
      <c r="B22" s="9" t="s">
        <v>315</v>
      </c>
      <c r="C22" s="9" t="s">
        <v>316</v>
      </c>
      <c r="D22" s="9" t="s">
        <v>317</v>
      </c>
      <c r="E22" s="9" t="s">
        <v>311</v>
      </c>
      <c r="F22" s="9" t="s">
        <v>318</v>
      </c>
      <c r="G22" s="9"/>
      <c r="H22" s="11" t="s">
        <v>319</v>
      </c>
      <c r="I22" s="9" t="s">
        <v>227</v>
      </c>
      <c r="J22" s="11" t="s">
        <v>320</v>
      </c>
      <c r="K22" s="9"/>
    </row>
    <row r="23" customFormat="false" ht="35.05" hidden="false" customHeight="false" outlineLevel="0" collapsed="false">
      <c r="A23" s="10" t="n">
        <v>22</v>
      </c>
      <c r="B23" s="10" t="s">
        <v>321</v>
      </c>
      <c r="C23" s="10" t="s">
        <v>322</v>
      </c>
      <c r="D23" s="10" t="s">
        <v>323</v>
      </c>
      <c r="E23" s="10" t="s">
        <v>324</v>
      </c>
      <c r="F23" s="10" t="s">
        <v>325</v>
      </c>
      <c r="G23" s="10"/>
      <c r="H23" s="12" t="s">
        <v>326</v>
      </c>
      <c r="I23" s="10" t="s">
        <v>227</v>
      </c>
      <c r="J23" s="12" t="s">
        <v>327</v>
      </c>
      <c r="K23" s="10"/>
    </row>
    <row r="24" customFormat="false" ht="23.85" hidden="false" customHeight="false" outlineLevel="0" collapsed="false">
      <c r="A24" s="9" t="n">
        <v>23</v>
      </c>
      <c r="B24" s="9" t="s">
        <v>328</v>
      </c>
      <c r="C24" s="9" t="s">
        <v>329</v>
      </c>
      <c r="D24" s="9" t="s">
        <v>330</v>
      </c>
      <c r="E24" s="9" t="s">
        <v>324</v>
      </c>
      <c r="F24" s="9" t="s">
        <v>331</v>
      </c>
      <c r="G24" s="9"/>
      <c r="H24" s="11" t="s">
        <v>332</v>
      </c>
      <c r="I24" s="9" t="s">
        <v>227</v>
      </c>
      <c r="J24" s="11" t="s">
        <v>333</v>
      </c>
      <c r="K24" s="9"/>
    </row>
    <row r="25" customFormat="false" ht="23.85" hidden="false" customHeight="false" outlineLevel="0" collapsed="false">
      <c r="A25" s="10" t="n">
        <v>24</v>
      </c>
      <c r="B25" s="10" t="s">
        <v>334</v>
      </c>
      <c r="C25" s="10" t="s">
        <v>335</v>
      </c>
      <c r="D25" s="10" t="s">
        <v>336</v>
      </c>
      <c r="E25" s="10" t="s">
        <v>230</v>
      </c>
      <c r="F25" s="10"/>
      <c r="G25" s="10" t="s">
        <v>337</v>
      </c>
      <c r="H25" s="12" t="s">
        <v>338</v>
      </c>
      <c r="I25" s="10" t="s">
        <v>227</v>
      </c>
      <c r="J25" s="12" t="s">
        <v>338</v>
      </c>
      <c r="K25" s="10"/>
    </row>
    <row r="26" customFormat="false" ht="23.85" hidden="false" customHeight="false" outlineLevel="0" collapsed="false">
      <c r="A26" s="9" t="n">
        <v>25</v>
      </c>
      <c r="B26" s="9" t="s">
        <v>339</v>
      </c>
      <c r="C26" s="9" t="s">
        <v>340</v>
      </c>
      <c r="D26" s="9" t="s">
        <v>341</v>
      </c>
      <c r="E26" s="9" t="s">
        <v>242</v>
      </c>
      <c r="F26" s="9" t="s">
        <v>342</v>
      </c>
      <c r="G26" s="9"/>
      <c r="H26" s="11" t="s">
        <v>343</v>
      </c>
      <c r="I26" s="9" t="s">
        <v>227</v>
      </c>
      <c r="J26" s="11" t="s">
        <v>344</v>
      </c>
      <c r="K26" s="9"/>
    </row>
    <row r="27" customFormat="false" ht="23.85" hidden="false" customHeight="false" outlineLevel="0" collapsed="false">
      <c r="A27" s="10" t="n">
        <v>26</v>
      </c>
      <c r="B27" s="10" t="s">
        <v>345</v>
      </c>
      <c r="C27" s="10" t="s">
        <v>346</v>
      </c>
      <c r="D27" s="10" t="s">
        <v>347</v>
      </c>
      <c r="E27" s="10" t="s">
        <v>324</v>
      </c>
      <c r="F27" s="10" t="s">
        <v>348</v>
      </c>
      <c r="G27" s="10"/>
      <c r="H27" s="12" t="s">
        <v>349</v>
      </c>
      <c r="I27" s="10" t="s">
        <v>227</v>
      </c>
      <c r="J27" s="12" t="s">
        <v>350</v>
      </c>
      <c r="K27" s="10"/>
    </row>
    <row r="28" customFormat="false" ht="23.85" hidden="false" customHeight="false" outlineLevel="0" collapsed="false">
      <c r="A28" s="9" t="n">
        <v>27</v>
      </c>
      <c r="B28" s="9" t="s">
        <v>351</v>
      </c>
      <c r="C28" s="9" t="s">
        <v>352</v>
      </c>
      <c r="D28" s="9" t="s">
        <v>353</v>
      </c>
      <c r="E28" s="9" t="s">
        <v>354</v>
      </c>
      <c r="F28" s="9" t="s">
        <v>355</v>
      </c>
      <c r="G28" s="9"/>
      <c r="H28" s="11" t="s">
        <v>356</v>
      </c>
      <c r="I28" s="9" t="s">
        <v>227</v>
      </c>
      <c r="J28" s="11" t="s">
        <v>357</v>
      </c>
      <c r="K28" s="9"/>
    </row>
    <row r="29" customFormat="false" ht="35.05" hidden="false" customHeight="false" outlineLevel="0" collapsed="false">
      <c r="A29" s="10" t="n">
        <v>28</v>
      </c>
      <c r="B29" s="10" t="s">
        <v>358</v>
      </c>
      <c r="C29" s="10" t="s">
        <v>359</v>
      </c>
      <c r="D29" s="10" t="s">
        <v>360</v>
      </c>
      <c r="E29" s="10" t="s">
        <v>311</v>
      </c>
      <c r="F29" s="10" t="s">
        <v>361</v>
      </c>
      <c r="G29" s="10"/>
      <c r="H29" s="12" t="s">
        <v>362</v>
      </c>
      <c r="I29" s="10" t="s">
        <v>227</v>
      </c>
      <c r="J29" s="12" t="s">
        <v>363</v>
      </c>
      <c r="K29" s="10"/>
    </row>
    <row r="30" customFormat="false" ht="15" hidden="false" customHeight="false" outlineLevel="0" collapsed="false">
      <c r="A30" s="9" t="n">
        <v>29</v>
      </c>
      <c r="B30" s="9" t="s">
        <v>364</v>
      </c>
      <c r="C30" s="9" t="s">
        <v>365</v>
      </c>
      <c r="D30" s="9" t="s">
        <v>200</v>
      </c>
      <c r="E30" s="9" t="s">
        <v>235</v>
      </c>
      <c r="F30" s="9"/>
      <c r="G30" s="9" t="s">
        <v>366</v>
      </c>
      <c r="H30" s="11" t="s">
        <v>367</v>
      </c>
      <c r="I30" s="9" t="s">
        <v>227</v>
      </c>
      <c r="J30" s="11" t="s">
        <v>367</v>
      </c>
      <c r="K30" s="9"/>
    </row>
    <row r="31" customFormat="false" ht="15" hidden="false" customHeight="false" outlineLevel="0" collapsed="false">
      <c r="A31" s="10" t="n">
        <v>30</v>
      </c>
      <c r="B31" s="10" t="s">
        <v>368</v>
      </c>
      <c r="C31" s="10" t="s">
        <v>369</v>
      </c>
      <c r="D31" s="10" t="s">
        <v>370</v>
      </c>
      <c r="E31" s="10"/>
      <c r="F31" s="10"/>
      <c r="G31" s="10"/>
      <c r="H31" s="12" t="s">
        <v>371</v>
      </c>
      <c r="I31" s="10" t="s">
        <v>283</v>
      </c>
      <c r="J31" s="12" t="s">
        <v>371</v>
      </c>
      <c r="K31" s="10"/>
    </row>
    <row r="32" customFormat="false" ht="35.05" hidden="false" customHeight="false" outlineLevel="0" collapsed="false">
      <c r="A32" s="9" t="n">
        <v>31</v>
      </c>
      <c r="B32" s="9" t="s">
        <v>372</v>
      </c>
      <c r="C32" s="9" t="s">
        <v>373</v>
      </c>
      <c r="D32" s="9" t="s">
        <v>374</v>
      </c>
      <c r="E32" s="9" t="s">
        <v>311</v>
      </c>
      <c r="F32" s="9" t="s">
        <v>375</v>
      </c>
      <c r="G32" s="9"/>
      <c r="H32" s="11" t="s">
        <v>376</v>
      </c>
      <c r="I32" s="9" t="s">
        <v>227</v>
      </c>
      <c r="J32" s="11" t="s">
        <v>377</v>
      </c>
      <c r="K32" s="9"/>
    </row>
    <row r="33" customFormat="false" ht="23.85" hidden="false" customHeight="false" outlineLevel="0" collapsed="false">
      <c r="A33" s="10" t="n">
        <v>32</v>
      </c>
      <c r="B33" s="10" t="s">
        <v>378</v>
      </c>
      <c r="C33" s="10" t="s">
        <v>379</v>
      </c>
      <c r="D33" s="10" t="s">
        <v>380</v>
      </c>
      <c r="E33" s="10" t="s">
        <v>381</v>
      </c>
      <c r="F33" s="10" t="s">
        <v>382</v>
      </c>
      <c r="G33" s="10"/>
      <c r="H33" s="12" t="s">
        <v>383</v>
      </c>
      <c r="I33" s="10" t="s">
        <v>283</v>
      </c>
      <c r="J33" s="12" t="s">
        <v>384</v>
      </c>
      <c r="K33" s="10"/>
    </row>
    <row r="34" customFormat="false" ht="23.85" hidden="false" customHeight="false" outlineLevel="0" collapsed="false">
      <c r="A34" s="9" t="n">
        <v>33</v>
      </c>
      <c r="B34" s="9" t="s">
        <v>385</v>
      </c>
      <c r="C34" s="9" t="s">
        <v>386</v>
      </c>
      <c r="D34" s="9" t="s">
        <v>387</v>
      </c>
      <c r="E34" s="9" t="s">
        <v>311</v>
      </c>
      <c r="F34" s="9" t="s">
        <v>388</v>
      </c>
      <c r="G34" s="9"/>
      <c r="H34" s="11" t="s">
        <v>389</v>
      </c>
      <c r="I34" s="9" t="s">
        <v>227</v>
      </c>
      <c r="J34" s="11" t="s">
        <v>390</v>
      </c>
      <c r="K34" s="9"/>
    </row>
    <row r="35" customFormat="false" ht="23.85" hidden="false" customHeight="false" outlineLevel="0" collapsed="false">
      <c r="A35" s="10" t="n">
        <v>34</v>
      </c>
      <c r="B35" s="10" t="s">
        <v>391</v>
      </c>
      <c r="C35" s="10" t="s">
        <v>392</v>
      </c>
      <c r="D35" s="10" t="s">
        <v>393</v>
      </c>
      <c r="E35" s="10" t="s">
        <v>324</v>
      </c>
      <c r="F35" s="10" t="s">
        <v>394</v>
      </c>
      <c r="G35" s="10"/>
      <c r="H35" s="12" t="s">
        <v>395</v>
      </c>
      <c r="I35" s="10" t="s">
        <v>227</v>
      </c>
      <c r="J35" s="12" t="s">
        <v>396</v>
      </c>
      <c r="K35" s="10"/>
    </row>
    <row r="36" customFormat="false" ht="23.85" hidden="false" customHeight="false" outlineLevel="0" collapsed="false">
      <c r="A36" s="9" t="n">
        <v>35</v>
      </c>
      <c r="B36" s="9" t="s">
        <v>397</v>
      </c>
      <c r="C36" s="9" t="s">
        <v>398</v>
      </c>
      <c r="D36" s="9" t="s">
        <v>399</v>
      </c>
      <c r="E36" s="9" t="s">
        <v>324</v>
      </c>
      <c r="F36" s="9"/>
      <c r="G36" s="9" t="s">
        <v>400</v>
      </c>
      <c r="H36" s="11" t="s">
        <v>401</v>
      </c>
      <c r="I36" s="9" t="s">
        <v>227</v>
      </c>
      <c r="J36" s="11" t="s">
        <v>401</v>
      </c>
      <c r="K36" s="9"/>
    </row>
    <row r="37" customFormat="false" ht="23.85" hidden="false" customHeight="false" outlineLevel="0" collapsed="false">
      <c r="A37" s="10" t="n">
        <v>36</v>
      </c>
      <c r="B37" s="10" t="s">
        <v>402</v>
      </c>
      <c r="C37" s="10" t="s">
        <v>403</v>
      </c>
      <c r="D37" s="10" t="s">
        <v>200</v>
      </c>
      <c r="E37" s="10" t="s">
        <v>354</v>
      </c>
      <c r="F37" s="10"/>
      <c r="G37" s="10" t="s">
        <v>404</v>
      </c>
      <c r="H37" s="12" t="s">
        <v>405</v>
      </c>
      <c r="I37" s="10" t="s">
        <v>227</v>
      </c>
      <c r="J37" s="12" t="s">
        <v>405</v>
      </c>
      <c r="K37" s="10"/>
    </row>
    <row r="38" customFormat="false" ht="23.85" hidden="false" customHeight="false" outlineLevel="0" collapsed="false">
      <c r="A38" s="9" t="n">
        <v>37</v>
      </c>
      <c r="B38" s="9" t="s">
        <v>406</v>
      </c>
      <c r="C38" s="9" t="s">
        <v>407</v>
      </c>
      <c r="D38" s="9" t="s">
        <v>200</v>
      </c>
      <c r="E38" s="9" t="s">
        <v>230</v>
      </c>
      <c r="F38" s="9"/>
      <c r="G38" s="9" t="s">
        <v>408</v>
      </c>
      <c r="H38" s="11" t="s">
        <v>409</v>
      </c>
      <c r="I38" s="9" t="s">
        <v>227</v>
      </c>
      <c r="J38" s="11" t="s">
        <v>409</v>
      </c>
      <c r="K38" s="9"/>
    </row>
    <row r="39" customFormat="false" ht="23.85" hidden="false" customHeight="false" outlineLevel="0" collapsed="false">
      <c r="A39" s="10" t="n">
        <v>38</v>
      </c>
      <c r="B39" s="10" t="s">
        <v>410</v>
      </c>
      <c r="C39" s="10" t="s">
        <v>411</v>
      </c>
      <c r="D39" s="10" t="s">
        <v>412</v>
      </c>
      <c r="E39" s="10" t="s">
        <v>354</v>
      </c>
      <c r="F39" s="10" t="s">
        <v>413</v>
      </c>
      <c r="G39" s="10"/>
      <c r="H39" s="12" t="s">
        <v>414</v>
      </c>
      <c r="I39" s="10" t="s">
        <v>227</v>
      </c>
      <c r="J39" s="12" t="s">
        <v>415</v>
      </c>
      <c r="K39" s="10"/>
    </row>
    <row r="40" customFormat="false" ht="23.85" hidden="false" customHeight="false" outlineLevel="0" collapsed="false">
      <c r="A40" s="9" t="n">
        <v>39</v>
      </c>
      <c r="B40" s="9" t="s">
        <v>416</v>
      </c>
      <c r="C40" s="9" t="s">
        <v>417</v>
      </c>
      <c r="D40" s="9" t="s">
        <v>418</v>
      </c>
      <c r="E40" s="9" t="s">
        <v>242</v>
      </c>
      <c r="F40" s="9" t="s">
        <v>419</v>
      </c>
      <c r="G40" s="9" t="s">
        <v>420</v>
      </c>
      <c r="H40" s="11" t="s">
        <v>421</v>
      </c>
      <c r="I40" s="9" t="s">
        <v>227</v>
      </c>
      <c r="J40" s="11" t="s">
        <v>422</v>
      </c>
      <c r="K40" s="9"/>
    </row>
    <row r="41" customFormat="false" ht="35.05" hidden="false" customHeight="false" outlineLevel="0" collapsed="false">
      <c r="A41" s="10" t="n">
        <v>40</v>
      </c>
      <c r="B41" s="10" t="s">
        <v>423</v>
      </c>
      <c r="C41" s="10" t="s">
        <v>424</v>
      </c>
      <c r="D41" s="10" t="s">
        <v>200</v>
      </c>
      <c r="E41" s="10" t="s">
        <v>381</v>
      </c>
      <c r="F41" s="10"/>
      <c r="G41" s="10" t="s">
        <v>425</v>
      </c>
      <c r="H41" s="12" t="s">
        <v>426</v>
      </c>
      <c r="I41" s="10" t="s">
        <v>227</v>
      </c>
      <c r="J41" s="12" t="s">
        <v>426</v>
      </c>
      <c r="K41" s="10"/>
    </row>
    <row r="42" customFormat="false" ht="15" hidden="false" customHeight="false" outlineLevel="0" collapsed="false">
      <c r="A42" s="9" t="n">
        <v>41</v>
      </c>
      <c r="B42" s="9" t="s">
        <v>427</v>
      </c>
      <c r="C42" s="9" t="s">
        <v>428</v>
      </c>
      <c r="D42" s="9" t="s">
        <v>200</v>
      </c>
      <c r="E42" s="9" t="s">
        <v>381</v>
      </c>
      <c r="F42" s="9"/>
      <c r="G42" s="9" t="s">
        <v>429</v>
      </c>
      <c r="H42" s="11" t="s">
        <v>430</v>
      </c>
      <c r="I42" s="9" t="s">
        <v>227</v>
      </c>
      <c r="J42" s="11" t="s">
        <v>430</v>
      </c>
      <c r="K42" s="9"/>
    </row>
    <row r="43" customFormat="false" ht="23.85" hidden="false" customHeight="false" outlineLevel="0" collapsed="false">
      <c r="A43" s="10" t="n">
        <v>42</v>
      </c>
      <c r="B43" s="10" t="s">
        <v>431</v>
      </c>
      <c r="C43" s="10" t="s">
        <v>432</v>
      </c>
      <c r="D43" s="10" t="s">
        <v>433</v>
      </c>
      <c r="E43" s="10" t="s">
        <v>242</v>
      </c>
      <c r="F43" s="10" t="s">
        <v>434</v>
      </c>
      <c r="G43" s="10" t="s">
        <v>435</v>
      </c>
      <c r="H43" s="12" t="s">
        <v>436</v>
      </c>
      <c r="I43" s="10" t="s">
        <v>227</v>
      </c>
      <c r="J43" s="12" t="s">
        <v>437</v>
      </c>
      <c r="K43" s="10"/>
    </row>
    <row r="44" customFormat="false" ht="23.85" hidden="false" customHeight="false" outlineLevel="0" collapsed="false">
      <c r="A44" s="9" t="n">
        <v>43</v>
      </c>
      <c r="B44" s="9" t="s">
        <v>438</v>
      </c>
      <c r="C44" s="9" t="s">
        <v>439</v>
      </c>
      <c r="D44" s="9" t="s">
        <v>200</v>
      </c>
      <c r="E44" s="9" t="s">
        <v>274</v>
      </c>
      <c r="F44" s="9"/>
      <c r="G44" s="9" t="s">
        <v>440</v>
      </c>
      <c r="H44" s="11" t="s">
        <v>441</v>
      </c>
      <c r="I44" s="9" t="s">
        <v>227</v>
      </c>
      <c r="J44" s="11" t="s">
        <v>441</v>
      </c>
      <c r="K44" s="9"/>
    </row>
    <row r="45" customFormat="false" ht="23.85" hidden="false" customHeight="false" outlineLevel="0" collapsed="false">
      <c r="A45" s="10" t="n">
        <v>44</v>
      </c>
      <c r="B45" s="10" t="s">
        <v>442</v>
      </c>
      <c r="C45" s="10" t="s">
        <v>443</v>
      </c>
      <c r="D45" s="10" t="s">
        <v>444</v>
      </c>
      <c r="E45" s="10" t="s">
        <v>354</v>
      </c>
      <c r="F45" s="10"/>
      <c r="G45" s="10"/>
      <c r="H45" s="12" t="s">
        <v>445</v>
      </c>
      <c r="I45" s="10" t="s">
        <v>283</v>
      </c>
      <c r="J45" s="12" t="s">
        <v>445</v>
      </c>
      <c r="K45" s="10"/>
    </row>
    <row r="46" customFormat="false" ht="23.85" hidden="false" customHeight="false" outlineLevel="0" collapsed="false">
      <c r="A46" s="9" t="n">
        <v>45</v>
      </c>
      <c r="B46" s="9" t="s">
        <v>446</v>
      </c>
      <c r="C46" s="9" t="s">
        <v>447</v>
      </c>
      <c r="D46" s="9" t="s">
        <v>200</v>
      </c>
      <c r="E46" s="9" t="s">
        <v>311</v>
      </c>
      <c r="F46" s="9"/>
      <c r="G46" s="9" t="s">
        <v>448</v>
      </c>
      <c r="H46" s="11" t="s">
        <v>449</v>
      </c>
      <c r="I46" s="9" t="s">
        <v>227</v>
      </c>
      <c r="J46" s="11" t="s">
        <v>449</v>
      </c>
      <c r="K46" s="9"/>
    </row>
    <row r="47" customFormat="false" ht="23.85" hidden="false" customHeight="false" outlineLevel="0" collapsed="false">
      <c r="A47" s="10" t="n">
        <v>46</v>
      </c>
      <c r="B47" s="10" t="s">
        <v>450</v>
      </c>
      <c r="C47" s="10" t="s">
        <v>451</v>
      </c>
      <c r="D47" s="10" t="s">
        <v>200</v>
      </c>
      <c r="E47" s="10" t="s">
        <v>235</v>
      </c>
      <c r="F47" s="10"/>
      <c r="G47" s="10" t="s">
        <v>452</v>
      </c>
      <c r="H47" s="12" t="s">
        <v>453</v>
      </c>
      <c r="I47" s="10" t="s">
        <v>227</v>
      </c>
      <c r="J47" s="12" t="s">
        <v>453</v>
      </c>
      <c r="K47" s="10"/>
    </row>
    <row r="48" customFormat="false" ht="23.85" hidden="false" customHeight="false" outlineLevel="0" collapsed="false">
      <c r="A48" s="9" t="n">
        <v>47</v>
      </c>
      <c r="B48" s="9" t="s">
        <v>446</v>
      </c>
      <c r="C48" s="9" t="s">
        <v>454</v>
      </c>
      <c r="D48" s="9" t="s">
        <v>200</v>
      </c>
      <c r="E48" s="9" t="s">
        <v>235</v>
      </c>
      <c r="F48" s="9"/>
      <c r="G48" s="9" t="s">
        <v>455</v>
      </c>
      <c r="H48" s="11" t="s">
        <v>456</v>
      </c>
      <c r="I48" s="9" t="s">
        <v>227</v>
      </c>
      <c r="J48" s="11" t="s">
        <v>456</v>
      </c>
      <c r="K48" s="9"/>
    </row>
    <row r="49" customFormat="false" ht="15" hidden="false" customHeight="false" outlineLevel="0" collapsed="false">
      <c r="A49" s="10" t="n">
        <v>48</v>
      </c>
      <c r="B49" s="10" t="s">
        <v>457</v>
      </c>
      <c r="C49" s="10" t="s">
        <v>458</v>
      </c>
      <c r="D49" s="10" t="s">
        <v>459</v>
      </c>
      <c r="E49" s="10" t="s">
        <v>248</v>
      </c>
      <c r="F49" s="10"/>
      <c r="G49" s="10" t="s">
        <v>460</v>
      </c>
      <c r="H49" s="12" t="s">
        <v>461</v>
      </c>
      <c r="I49" s="10" t="s">
        <v>227</v>
      </c>
      <c r="J49" s="12" t="s">
        <v>461</v>
      </c>
      <c r="K49" s="10"/>
    </row>
    <row r="50" customFormat="false" ht="15" hidden="false" customHeight="false" outlineLevel="0" collapsed="false">
      <c r="A50" s="9" t="n">
        <v>49</v>
      </c>
      <c r="B50" s="9" t="s">
        <v>462</v>
      </c>
      <c r="C50" s="9" t="s">
        <v>463</v>
      </c>
      <c r="D50" s="9" t="s">
        <v>464</v>
      </c>
      <c r="E50" s="9" t="s">
        <v>235</v>
      </c>
      <c r="F50" s="9"/>
      <c r="G50" s="9" t="s">
        <v>465</v>
      </c>
      <c r="H50" s="11" t="s">
        <v>466</v>
      </c>
      <c r="I50" s="9" t="s">
        <v>227</v>
      </c>
      <c r="J50" s="11" t="s">
        <v>466</v>
      </c>
      <c r="K50" s="9"/>
    </row>
    <row r="51" customFormat="false" ht="23.85" hidden="false" customHeight="false" outlineLevel="0" collapsed="false">
      <c r="A51" s="10" t="n">
        <v>50</v>
      </c>
      <c r="B51" s="10" t="s">
        <v>467</v>
      </c>
      <c r="C51" s="10" t="s">
        <v>468</v>
      </c>
      <c r="D51" s="10" t="s">
        <v>469</v>
      </c>
      <c r="E51" s="10" t="s">
        <v>242</v>
      </c>
      <c r="F51" s="10"/>
      <c r="G51" s="10" t="s">
        <v>470</v>
      </c>
      <c r="H51" s="12" t="s">
        <v>471</v>
      </c>
      <c r="I51" s="10" t="s">
        <v>227</v>
      </c>
      <c r="J51" s="12" t="s">
        <v>471</v>
      </c>
      <c r="K51" s="10"/>
    </row>
    <row r="52" customFormat="false" ht="23.85" hidden="false" customHeight="false" outlineLevel="0" collapsed="false">
      <c r="A52" s="9" t="n">
        <v>51</v>
      </c>
      <c r="B52" s="9" t="s">
        <v>472</v>
      </c>
      <c r="C52" s="9" t="s">
        <v>473</v>
      </c>
      <c r="D52" s="9" t="s">
        <v>474</v>
      </c>
      <c r="E52" s="9" t="s">
        <v>475</v>
      </c>
      <c r="F52" s="9" t="s">
        <v>476</v>
      </c>
      <c r="G52" s="9"/>
      <c r="H52" s="11" t="s">
        <v>477</v>
      </c>
      <c r="I52" s="9" t="s">
        <v>227</v>
      </c>
      <c r="J52" s="11" t="s">
        <v>478</v>
      </c>
      <c r="K52" s="9"/>
    </row>
    <row r="53" customFormat="false" ht="23.85" hidden="false" customHeight="false" outlineLevel="0" collapsed="false">
      <c r="A53" s="10" t="n">
        <v>52</v>
      </c>
      <c r="B53" s="10" t="s">
        <v>479</v>
      </c>
      <c r="C53" s="10" t="s">
        <v>480</v>
      </c>
      <c r="D53" s="10" t="s">
        <v>481</v>
      </c>
      <c r="E53" s="10" t="s">
        <v>482</v>
      </c>
      <c r="F53" s="10" t="s">
        <v>483</v>
      </c>
      <c r="G53" s="10"/>
      <c r="H53" s="12" t="s">
        <v>484</v>
      </c>
      <c r="I53" s="10" t="s">
        <v>227</v>
      </c>
      <c r="J53" s="12" t="s">
        <v>485</v>
      </c>
      <c r="K53" s="10"/>
    </row>
    <row r="54" customFormat="false" ht="23.85" hidden="false" customHeight="false" outlineLevel="0" collapsed="false">
      <c r="A54" s="9" t="n">
        <v>53</v>
      </c>
      <c r="B54" s="9" t="s">
        <v>486</v>
      </c>
      <c r="C54" s="9" t="s">
        <v>487</v>
      </c>
      <c r="D54" s="9" t="s">
        <v>488</v>
      </c>
      <c r="E54" s="9" t="s">
        <v>489</v>
      </c>
      <c r="F54" s="9" t="s">
        <v>490</v>
      </c>
      <c r="G54" s="9"/>
      <c r="H54" s="11" t="s">
        <v>491</v>
      </c>
      <c r="I54" s="9" t="s">
        <v>227</v>
      </c>
      <c r="J54" s="11" t="s">
        <v>492</v>
      </c>
      <c r="K54" s="9"/>
    </row>
    <row r="55" customFormat="false" ht="15" hidden="false" customHeight="false" outlineLevel="0" collapsed="false">
      <c r="A55" s="10" t="n">
        <v>54</v>
      </c>
      <c r="B55" s="10" t="s">
        <v>493</v>
      </c>
      <c r="C55" s="10" t="s">
        <v>494</v>
      </c>
      <c r="D55" s="10" t="s">
        <v>495</v>
      </c>
      <c r="E55" s="10" t="s">
        <v>274</v>
      </c>
      <c r="F55" s="10"/>
      <c r="G55" s="10"/>
      <c r="H55" s="12" t="s">
        <v>496</v>
      </c>
      <c r="I55" s="10" t="s">
        <v>283</v>
      </c>
      <c r="J55" s="12" t="s">
        <v>496</v>
      </c>
      <c r="K55" s="10"/>
    </row>
    <row r="56" customFormat="false" ht="23.85" hidden="false" customHeight="false" outlineLevel="0" collapsed="false">
      <c r="A56" s="9" t="n">
        <v>55</v>
      </c>
      <c r="B56" s="9" t="s">
        <v>497</v>
      </c>
      <c r="C56" s="9" t="s">
        <v>498</v>
      </c>
      <c r="D56" s="9" t="s">
        <v>499</v>
      </c>
      <c r="E56" s="9" t="s">
        <v>500</v>
      </c>
      <c r="F56" s="9" t="s">
        <v>501</v>
      </c>
      <c r="G56" s="9"/>
      <c r="H56" s="11" t="s">
        <v>502</v>
      </c>
      <c r="I56" s="9" t="s">
        <v>227</v>
      </c>
      <c r="J56" s="11" t="s">
        <v>503</v>
      </c>
      <c r="K56" s="9"/>
    </row>
    <row r="57" customFormat="false" ht="23.85" hidden="false" customHeight="false" outlineLevel="0" collapsed="false">
      <c r="A57" s="10" t="n">
        <v>56</v>
      </c>
      <c r="B57" s="10" t="s">
        <v>504</v>
      </c>
      <c r="C57" s="10" t="s">
        <v>505</v>
      </c>
      <c r="D57" s="10" t="s">
        <v>506</v>
      </c>
      <c r="E57" s="10" t="s">
        <v>281</v>
      </c>
      <c r="F57" s="10" t="s">
        <v>507</v>
      </c>
      <c r="G57" s="10"/>
      <c r="H57" s="12" t="s">
        <v>508</v>
      </c>
      <c r="I57" s="10" t="s">
        <v>227</v>
      </c>
      <c r="J57" s="12" t="s">
        <v>509</v>
      </c>
      <c r="K57" s="10"/>
    </row>
    <row r="58" customFormat="false" ht="23.85" hidden="false" customHeight="false" outlineLevel="0" collapsed="false">
      <c r="A58" s="9" t="n">
        <v>57</v>
      </c>
      <c r="B58" s="9" t="s">
        <v>510</v>
      </c>
      <c r="C58" s="9" t="s">
        <v>511</v>
      </c>
      <c r="D58" s="9" t="s">
        <v>512</v>
      </c>
      <c r="E58" s="9" t="s">
        <v>235</v>
      </c>
      <c r="F58" s="9"/>
      <c r="G58" s="9"/>
      <c r="H58" s="11" t="s">
        <v>513</v>
      </c>
      <c r="I58" s="9" t="s">
        <v>283</v>
      </c>
      <c r="J58" s="11" t="s">
        <v>513</v>
      </c>
      <c r="K58" s="9" t="s">
        <v>514</v>
      </c>
    </row>
    <row r="59" customFormat="false" ht="68.65" hidden="false" customHeight="false" outlineLevel="0" collapsed="false">
      <c r="A59" s="10" t="n">
        <v>58</v>
      </c>
      <c r="B59" s="10" t="s">
        <v>515</v>
      </c>
      <c r="C59" s="10" t="s">
        <v>516</v>
      </c>
      <c r="D59" s="10" t="s">
        <v>517</v>
      </c>
      <c r="E59" s="10" t="s">
        <v>518</v>
      </c>
      <c r="F59" s="10"/>
      <c r="G59" s="10"/>
      <c r="H59" s="10"/>
      <c r="I59" s="10" t="s">
        <v>262</v>
      </c>
      <c r="J59" s="12" t="s">
        <v>519</v>
      </c>
      <c r="K59" s="10" t="s">
        <v>520</v>
      </c>
    </row>
    <row r="60" customFormat="false" ht="23.85" hidden="false" customHeight="false" outlineLevel="0" collapsed="false">
      <c r="A60" s="9" t="n">
        <v>59</v>
      </c>
      <c r="B60" s="9" t="s">
        <v>521</v>
      </c>
      <c r="C60" s="9" t="s">
        <v>522</v>
      </c>
      <c r="D60" s="9" t="s">
        <v>200</v>
      </c>
      <c r="E60" s="9" t="s">
        <v>354</v>
      </c>
      <c r="F60" s="9"/>
      <c r="G60" s="9" t="s">
        <v>523</v>
      </c>
      <c r="H60" s="11" t="s">
        <v>524</v>
      </c>
      <c r="I60" s="9" t="s">
        <v>227</v>
      </c>
      <c r="J60" s="11" t="s">
        <v>524</v>
      </c>
      <c r="K60" s="9"/>
    </row>
    <row r="61" customFormat="false" ht="23.85" hidden="false" customHeight="false" outlineLevel="0" collapsed="false">
      <c r="A61" s="10" t="n">
        <v>60</v>
      </c>
      <c r="B61" s="10" t="s">
        <v>525</v>
      </c>
      <c r="C61" s="10" t="s">
        <v>526</v>
      </c>
      <c r="D61" s="10" t="s">
        <v>527</v>
      </c>
      <c r="E61" s="10" t="s">
        <v>354</v>
      </c>
      <c r="F61" s="10" t="s">
        <v>528</v>
      </c>
      <c r="G61" s="10"/>
      <c r="H61" s="12" t="s">
        <v>529</v>
      </c>
      <c r="I61" s="10" t="s">
        <v>227</v>
      </c>
      <c r="J61" s="12" t="s">
        <v>530</v>
      </c>
      <c r="K61" s="10"/>
    </row>
    <row r="62" customFormat="false" ht="35.05" hidden="false" customHeight="false" outlineLevel="0" collapsed="false">
      <c r="A62" s="9" t="n">
        <v>61</v>
      </c>
      <c r="B62" s="9" t="s">
        <v>531</v>
      </c>
      <c r="C62" s="9" t="s">
        <v>532</v>
      </c>
      <c r="D62" s="9" t="s">
        <v>533</v>
      </c>
      <c r="E62" s="9" t="s">
        <v>324</v>
      </c>
      <c r="F62" s="9"/>
      <c r="G62" s="9" t="s">
        <v>534</v>
      </c>
      <c r="H62" s="11" t="s">
        <v>535</v>
      </c>
      <c r="I62" s="9" t="s">
        <v>227</v>
      </c>
      <c r="J62" s="11" t="s">
        <v>535</v>
      </c>
      <c r="K62" s="9"/>
    </row>
    <row r="63" customFormat="false" ht="23.85" hidden="false" customHeight="false" outlineLevel="0" collapsed="false">
      <c r="A63" s="10" t="n">
        <v>62</v>
      </c>
      <c r="B63" s="10" t="s">
        <v>536</v>
      </c>
      <c r="C63" s="10" t="s">
        <v>537</v>
      </c>
      <c r="D63" s="10" t="s">
        <v>200</v>
      </c>
      <c r="E63" s="10" t="s">
        <v>354</v>
      </c>
      <c r="F63" s="10"/>
      <c r="G63" s="10" t="s">
        <v>538</v>
      </c>
      <c r="H63" s="12" t="s">
        <v>539</v>
      </c>
      <c r="I63" s="10" t="s">
        <v>227</v>
      </c>
      <c r="J63" s="12" t="s">
        <v>539</v>
      </c>
      <c r="K63" s="10"/>
    </row>
    <row r="64" customFormat="false" ht="23.85" hidden="false" customHeight="false" outlineLevel="0" collapsed="false">
      <c r="A64" s="9" t="n">
        <v>63</v>
      </c>
      <c r="B64" s="9" t="s">
        <v>540</v>
      </c>
      <c r="C64" s="9" t="s">
        <v>541</v>
      </c>
      <c r="D64" s="9" t="s">
        <v>200</v>
      </c>
      <c r="E64" s="9" t="s">
        <v>242</v>
      </c>
      <c r="F64" s="9"/>
      <c r="G64" s="9" t="s">
        <v>542</v>
      </c>
      <c r="H64" s="11" t="s">
        <v>543</v>
      </c>
      <c r="I64" s="9" t="s">
        <v>227</v>
      </c>
      <c r="J64" s="11" t="s">
        <v>543</v>
      </c>
      <c r="K64" s="9"/>
    </row>
    <row r="65" customFormat="false" ht="23.85" hidden="false" customHeight="false" outlineLevel="0" collapsed="false">
      <c r="A65" s="10" t="n">
        <v>64</v>
      </c>
      <c r="B65" s="10" t="s">
        <v>544</v>
      </c>
      <c r="C65" s="10" t="s">
        <v>545</v>
      </c>
      <c r="D65" s="10" t="s">
        <v>546</v>
      </c>
      <c r="E65" s="10" t="s">
        <v>248</v>
      </c>
      <c r="F65" s="10" t="s">
        <v>547</v>
      </c>
      <c r="G65" s="10"/>
      <c r="H65" s="12" t="s">
        <v>548</v>
      </c>
      <c r="I65" s="10" t="s">
        <v>227</v>
      </c>
      <c r="J65" s="12" t="s">
        <v>549</v>
      </c>
      <c r="K65" s="10"/>
    </row>
    <row r="66" customFormat="false" ht="23.85" hidden="false" customHeight="false" outlineLevel="0" collapsed="false">
      <c r="A66" s="9" t="n">
        <v>65</v>
      </c>
      <c r="B66" s="9" t="s">
        <v>550</v>
      </c>
      <c r="C66" s="9" t="s">
        <v>551</v>
      </c>
      <c r="D66" s="9" t="s">
        <v>552</v>
      </c>
      <c r="E66" s="9" t="s">
        <v>242</v>
      </c>
      <c r="F66" s="9"/>
      <c r="G66" s="9"/>
      <c r="H66" s="11" t="s">
        <v>553</v>
      </c>
      <c r="I66" s="9" t="s">
        <v>283</v>
      </c>
      <c r="J66" s="11" t="s">
        <v>553</v>
      </c>
      <c r="K66" s="9"/>
    </row>
    <row r="67" customFormat="false" ht="15" hidden="false" customHeight="false" outlineLevel="0" collapsed="false">
      <c r="A67" s="10" t="n">
        <v>66</v>
      </c>
      <c r="B67" s="10" t="s">
        <v>554</v>
      </c>
      <c r="C67" s="10" t="s">
        <v>555</v>
      </c>
      <c r="D67" s="10" t="s">
        <v>556</v>
      </c>
      <c r="E67" s="10" t="s">
        <v>557</v>
      </c>
      <c r="F67" s="10" t="s">
        <v>558</v>
      </c>
      <c r="G67" s="10"/>
      <c r="H67" s="12" t="s">
        <v>559</v>
      </c>
      <c r="I67" s="10" t="s">
        <v>227</v>
      </c>
      <c r="J67" s="12" t="s">
        <v>560</v>
      </c>
      <c r="K67" s="10"/>
    </row>
    <row r="68" customFormat="false" ht="23.85" hidden="false" customHeight="false" outlineLevel="0" collapsed="false">
      <c r="A68" s="9" t="n">
        <v>67</v>
      </c>
      <c r="B68" s="9" t="s">
        <v>561</v>
      </c>
      <c r="C68" s="9" t="s">
        <v>562</v>
      </c>
      <c r="D68" s="9" t="s">
        <v>563</v>
      </c>
      <c r="E68" s="9" t="s">
        <v>557</v>
      </c>
      <c r="F68" s="9" t="s">
        <v>564</v>
      </c>
      <c r="G68" s="9"/>
      <c r="H68" s="11" t="s">
        <v>565</v>
      </c>
      <c r="I68" s="9" t="s">
        <v>227</v>
      </c>
      <c r="J68" s="11" t="s">
        <v>566</v>
      </c>
      <c r="K68" s="9"/>
    </row>
    <row r="69" customFormat="false" ht="23.85" hidden="false" customHeight="false" outlineLevel="0" collapsed="false">
      <c r="A69" s="10" t="n">
        <v>68</v>
      </c>
      <c r="B69" s="10" t="s">
        <v>567</v>
      </c>
      <c r="C69" s="10" t="s">
        <v>568</v>
      </c>
      <c r="D69" s="10" t="s">
        <v>569</v>
      </c>
      <c r="E69" s="10" t="s">
        <v>235</v>
      </c>
      <c r="F69" s="10" t="s">
        <v>570</v>
      </c>
      <c r="G69" s="10" t="s">
        <v>571</v>
      </c>
      <c r="H69" s="12" t="s">
        <v>572</v>
      </c>
      <c r="I69" s="10" t="s">
        <v>227</v>
      </c>
      <c r="J69" s="12" t="s">
        <v>573</v>
      </c>
      <c r="K69" s="10"/>
    </row>
    <row r="70" customFormat="false" ht="23.85" hidden="false" customHeight="false" outlineLevel="0" collapsed="false">
      <c r="A70" s="9" t="n">
        <v>69</v>
      </c>
      <c r="B70" s="9" t="s">
        <v>574</v>
      </c>
      <c r="C70" s="9" t="s">
        <v>575</v>
      </c>
      <c r="D70" s="9" t="s">
        <v>576</v>
      </c>
      <c r="E70" s="9" t="s">
        <v>324</v>
      </c>
      <c r="F70" s="9" t="s">
        <v>577</v>
      </c>
      <c r="G70" s="9" t="s">
        <v>578</v>
      </c>
      <c r="H70" s="11" t="s">
        <v>579</v>
      </c>
      <c r="I70" s="9" t="s">
        <v>227</v>
      </c>
      <c r="J70" s="11" t="s">
        <v>580</v>
      </c>
      <c r="K70" s="9"/>
    </row>
    <row r="71" customFormat="false" ht="23.85" hidden="false" customHeight="false" outlineLevel="0" collapsed="false">
      <c r="A71" s="10" t="n">
        <v>70</v>
      </c>
      <c r="B71" s="10" t="s">
        <v>581</v>
      </c>
      <c r="C71" s="10" t="s">
        <v>582</v>
      </c>
      <c r="D71" s="10" t="s">
        <v>583</v>
      </c>
      <c r="E71" s="10" t="s">
        <v>254</v>
      </c>
      <c r="F71" s="10"/>
      <c r="G71" s="10" t="s">
        <v>584</v>
      </c>
      <c r="H71" s="12" t="s">
        <v>585</v>
      </c>
      <c r="I71" s="10" t="s">
        <v>227</v>
      </c>
      <c r="J71" s="12" t="s">
        <v>585</v>
      </c>
      <c r="K71" s="10"/>
    </row>
    <row r="72" customFormat="false" ht="23.85" hidden="false" customHeight="false" outlineLevel="0" collapsed="false">
      <c r="A72" s="9" t="n">
        <v>71</v>
      </c>
      <c r="B72" s="9" t="s">
        <v>586</v>
      </c>
      <c r="C72" s="9" t="s">
        <v>587</v>
      </c>
      <c r="D72" s="9" t="s">
        <v>583</v>
      </c>
      <c r="E72" s="9" t="s">
        <v>242</v>
      </c>
      <c r="F72" s="9"/>
      <c r="G72" s="9" t="s">
        <v>588</v>
      </c>
      <c r="H72" s="11" t="s">
        <v>589</v>
      </c>
      <c r="I72" s="9" t="s">
        <v>227</v>
      </c>
      <c r="J72" s="11" t="s">
        <v>589</v>
      </c>
      <c r="K72" s="9"/>
    </row>
    <row r="73" customFormat="false" ht="15" hidden="false" customHeight="false" outlineLevel="0" collapsed="false">
      <c r="A73" s="10" t="n">
        <v>72</v>
      </c>
      <c r="B73" s="10" t="s">
        <v>590</v>
      </c>
      <c r="C73" s="10" t="s">
        <v>591</v>
      </c>
      <c r="D73" s="10" t="s">
        <v>592</v>
      </c>
      <c r="E73" s="10" t="s">
        <v>274</v>
      </c>
      <c r="F73" s="10"/>
      <c r="G73" s="10" t="s">
        <v>593</v>
      </c>
      <c r="H73" s="12" t="s">
        <v>594</v>
      </c>
      <c r="I73" s="10" t="s">
        <v>227</v>
      </c>
      <c r="J73" s="12" t="s">
        <v>594</v>
      </c>
      <c r="K73" s="10"/>
    </row>
    <row r="74" customFormat="false" ht="23.85" hidden="false" customHeight="false" outlineLevel="0" collapsed="false">
      <c r="A74" s="9" t="n">
        <v>73</v>
      </c>
      <c r="B74" s="9" t="s">
        <v>595</v>
      </c>
      <c r="C74" s="9" t="s">
        <v>596</v>
      </c>
      <c r="D74" s="9" t="s">
        <v>592</v>
      </c>
      <c r="E74" s="9" t="s">
        <v>242</v>
      </c>
      <c r="F74" s="9"/>
      <c r="G74" s="9" t="s">
        <v>597</v>
      </c>
      <c r="H74" s="11" t="s">
        <v>598</v>
      </c>
      <c r="I74" s="9" t="s">
        <v>227</v>
      </c>
      <c r="J74" s="11" t="s">
        <v>598</v>
      </c>
      <c r="K74" s="9"/>
    </row>
    <row r="75" customFormat="false" ht="15" hidden="false" customHeight="false" outlineLevel="0" collapsed="false">
      <c r="A75" s="10" t="n">
        <v>74</v>
      </c>
      <c r="B75" s="10" t="s">
        <v>599</v>
      </c>
      <c r="C75" s="10" t="s">
        <v>600</v>
      </c>
      <c r="D75" s="10" t="s">
        <v>459</v>
      </c>
      <c r="E75" s="10" t="s">
        <v>248</v>
      </c>
      <c r="F75" s="10"/>
      <c r="G75" s="10" t="s">
        <v>601</v>
      </c>
      <c r="H75" s="12" t="s">
        <v>602</v>
      </c>
      <c r="I75" s="10" t="s">
        <v>227</v>
      </c>
      <c r="J75" s="12" t="s">
        <v>602</v>
      </c>
      <c r="K75" s="10"/>
    </row>
    <row r="76" customFormat="false" ht="15" hidden="false" customHeight="false" outlineLevel="0" collapsed="false">
      <c r="A76" s="9" t="n">
        <v>75</v>
      </c>
      <c r="B76" s="9" t="s">
        <v>603</v>
      </c>
      <c r="C76" s="9" t="s">
        <v>604</v>
      </c>
      <c r="D76" s="9" t="s">
        <v>605</v>
      </c>
      <c r="E76" s="9" t="s">
        <v>235</v>
      </c>
      <c r="F76" s="9" t="s">
        <v>606</v>
      </c>
      <c r="G76" s="9" t="s">
        <v>607</v>
      </c>
      <c r="H76" s="11" t="s">
        <v>608</v>
      </c>
      <c r="I76" s="9" t="s">
        <v>227</v>
      </c>
      <c r="J76" s="11" t="s">
        <v>609</v>
      </c>
      <c r="K76" s="9"/>
    </row>
    <row r="77" customFormat="false" ht="15" hidden="false" customHeight="false" outlineLevel="0" collapsed="false">
      <c r="A77" s="10" t="n">
        <v>76</v>
      </c>
      <c r="B77" s="10" t="s">
        <v>610</v>
      </c>
      <c r="C77" s="10" t="s">
        <v>611</v>
      </c>
      <c r="D77" s="10" t="s">
        <v>583</v>
      </c>
      <c r="E77" s="10" t="s">
        <v>381</v>
      </c>
      <c r="F77" s="10"/>
      <c r="G77" s="10" t="s">
        <v>612</v>
      </c>
      <c r="H77" s="12" t="s">
        <v>613</v>
      </c>
      <c r="I77" s="10" t="s">
        <v>227</v>
      </c>
      <c r="J77" s="12" t="s">
        <v>613</v>
      </c>
      <c r="K77" s="10"/>
    </row>
    <row r="78" customFormat="false" ht="15" hidden="false" customHeight="false" outlineLevel="0" collapsed="false">
      <c r="A78" s="9" t="n">
        <v>77</v>
      </c>
      <c r="B78" s="9" t="s">
        <v>614</v>
      </c>
      <c r="C78" s="9" t="s">
        <v>615</v>
      </c>
      <c r="D78" s="9" t="s">
        <v>592</v>
      </c>
      <c r="E78" s="9" t="s">
        <v>242</v>
      </c>
      <c r="F78" s="9"/>
      <c r="G78" s="9" t="s">
        <v>616</v>
      </c>
      <c r="H78" s="11" t="s">
        <v>617</v>
      </c>
      <c r="I78" s="9" t="s">
        <v>227</v>
      </c>
      <c r="J78" s="11" t="s">
        <v>617</v>
      </c>
      <c r="K78" s="9"/>
    </row>
    <row r="79" customFormat="false" ht="15" hidden="false" customHeight="false" outlineLevel="0" collapsed="false">
      <c r="A79" s="10" t="n">
        <v>78</v>
      </c>
      <c r="B79" s="10" t="s">
        <v>618</v>
      </c>
      <c r="C79" s="10" t="s">
        <v>619</v>
      </c>
      <c r="D79" s="10" t="s">
        <v>200</v>
      </c>
      <c r="E79" s="10" t="s">
        <v>274</v>
      </c>
      <c r="F79" s="10"/>
      <c r="G79" s="10" t="s">
        <v>620</v>
      </c>
      <c r="H79" s="12" t="s">
        <v>621</v>
      </c>
      <c r="I79" s="10" t="s">
        <v>227</v>
      </c>
      <c r="J79" s="12" t="s">
        <v>621</v>
      </c>
      <c r="K79" s="10"/>
    </row>
    <row r="80" customFormat="false" ht="23.85" hidden="false" customHeight="false" outlineLevel="0" collapsed="false">
      <c r="A80" s="9" t="n">
        <v>79</v>
      </c>
      <c r="B80" s="9" t="s">
        <v>622</v>
      </c>
      <c r="C80" s="9" t="s">
        <v>623</v>
      </c>
      <c r="D80" s="9" t="s">
        <v>200</v>
      </c>
      <c r="E80" s="9" t="s">
        <v>311</v>
      </c>
      <c r="F80" s="9"/>
      <c r="G80" s="9" t="s">
        <v>624</v>
      </c>
      <c r="H80" s="11" t="s">
        <v>625</v>
      </c>
      <c r="I80" s="9" t="s">
        <v>227</v>
      </c>
      <c r="J80" s="11" t="s">
        <v>625</v>
      </c>
      <c r="K80" s="9"/>
    </row>
    <row r="81" customFormat="false" ht="23.85" hidden="false" customHeight="false" outlineLevel="0" collapsed="false">
      <c r="A81" s="10" t="n">
        <v>80</v>
      </c>
      <c r="B81" s="10" t="s">
        <v>626</v>
      </c>
      <c r="C81" s="10" t="s">
        <v>627</v>
      </c>
      <c r="D81" s="10" t="s">
        <v>200</v>
      </c>
      <c r="E81" s="10" t="s">
        <v>324</v>
      </c>
      <c r="F81" s="10"/>
      <c r="G81" s="10" t="s">
        <v>628</v>
      </c>
      <c r="H81" s="12" t="s">
        <v>629</v>
      </c>
      <c r="I81" s="10" t="s">
        <v>227</v>
      </c>
      <c r="J81" s="12" t="s">
        <v>629</v>
      </c>
      <c r="K81" s="10"/>
    </row>
    <row r="82" customFormat="false" ht="23.85" hidden="false" customHeight="false" outlineLevel="0" collapsed="false">
      <c r="A82" s="9" t="n">
        <v>81</v>
      </c>
      <c r="B82" s="9" t="s">
        <v>630</v>
      </c>
      <c r="C82" s="9" t="s">
        <v>631</v>
      </c>
      <c r="D82" s="9" t="s">
        <v>200</v>
      </c>
      <c r="E82" s="9" t="s">
        <v>324</v>
      </c>
      <c r="F82" s="9"/>
      <c r="G82" s="9" t="s">
        <v>632</v>
      </c>
      <c r="H82" s="11" t="s">
        <v>633</v>
      </c>
      <c r="I82" s="9" t="s">
        <v>227</v>
      </c>
      <c r="J82" s="11" t="s">
        <v>633</v>
      </c>
      <c r="K82" s="9"/>
    </row>
    <row r="83" customFormat="false" ht="15" hidden="false" customHeight="false" outlineLevel="0" collapsed="false">
      <c r="A83" s="10" t="n">
        <v>82</v>
      </c>
      <c r="B83" s="10" t="s">
        <v>634</v>
      </c>
      <c r="C83" s="10" t="s">
        <v>635</v>
      </c>
      <c r="D83" s="10" t="s">
        <v>200</v>
      </c>
      <c r="E83" s="10" t="s">
        <v>311</v>
      </c>
      <c r="F83" s="10"/>
      <c r="G83" s="10" t="s">
        <v>636</v>
      </c>
      <c r="H83" s="12" t="s">
        <v>637</v>
      </c>
      <c r="I83" s="10" t="s">
        <v>227</v>
      </c>
      <c r="J83" s="12" t="s">
        <v>637</v>
      </c>
      <c r="K83" s="10"/>
    </row>
    <row r="84" customFormat="false" ht="23.85" hidden="false" customHeight="false" outlineLevel="0" collapsed="false">
      <c r="A84" s="9" t="n">
        <v>83</v>
      </c>
      <c r="B84" s="9" t="s">
        <v>638</v>
      </c>
      <c r="C84" s="9" t="s">
        <v>639</v>
      </c>
      <c r="D84" s="9" t="s">
        <v>200</v>
      </c>
      <c r="E84" s="9" t="s">
        <v>311</v>
      </c>
      <c r="F84" s="9"/>
      <c r="G84" s="9" t="s">
        <v>640</v>
      </c>
      <c r="H84" s="11" t="s">
        <v>641</v>
      </c>
      <c r="I84" s="9" t="s">
        <v>227</v>
      </c>
      <c r="J84" s="11" t="s">
        <v>641</v>
      </c>
      <c r="K84" s="9"/>
    </row>
    <row r="85" customFormat="false" ht="23.85" hidden="false" customHeight="false" outlineLevel="0" collapsed="false">
      <c r="A85" s="10" t="n">
        <v>84</v>
      </c>
      <c r="B85" s="10" t="s">
        <v>642</v>
      </c>
      <c r="C85" s="10" t="s">
        <v>643</v>
      </c>
      <c r="D85" s="10" t="s">
        <v>644</v>
      </c>
      <c r="E85" s="10" t="s">
        <v>381</v>
      </c>
      <c r="F85" s="10" t="s">
        <v>645</v>
      </c>
      <c r="G85" s="10"/>
      <c r="H85" s="12" t="s">
        <v>646</v>
      </c>
      <c r="I85" s="10" t="s">
        <v>227</v>
      </c>
      <c r="J85" s="12" t="s">
        <v>647</v>
      </c>
      <c r="K85" s="10"/>
    </row>
    <row r="86" customFormat="false" ht="23.85" hidden="false" customHeight="false" outlineLevel="0" collapsed="false">
      <c r="A86" s="9" t="n">
        <v>85</v>
      </c>
      <c r="B86" s="9" t="s">
        <v>648</v>
      </c>
      <c r="C86" s="9" t="s">
        <v>649</v>
      </c>
      <c r="D86" s="9" t="s">
        <v>650</v>
      </c>
      <c r="E86" s="9" t="s">
        <v>381</v>
      </c>
      <c r="F86" s="9" t="s">
        <v>651</v>
      </c>
      <c r="G86" s="9"/>
      <c r="H86" s="11" t="s">
        <v>652</v>
      </c>
      <c r="I86" s="9" t="s">
        <v>227</v>
      </c>
      <c r="J86" s="11" t="s">
        <v>653</v>
      </c>
      <c r="K86" s="9"/>
    </row>
    <row r="87" customFormat="false" ht="23.85" hidden="false" customHeight="false" outlineLevel="0" collapsed="false">
      <c r="A87" s="10" t="n">
        <v>86</v>
      </c>
      <c r="B87" s="10" t="s">
        <v>654</v>
      </c>
      <c r="C87" s="10" t="s">
        <v>655</v>
      </c>
      <c r="D87" s="10" t="s">
        <v>656</v>
      </c>
      <c r="E87" s="10" t="s">
        <v>324</v>
      </c>
      <c r="F87" s="10" t="s">
        <v>657</v>
      </c>
      <c r="G87" s="10"/>
      <c r="H87" s="12" t="s">
        <v>658</v>
      </c>
      <c r="I87" s="10" t="s">
        <v>227</v>
      </c>
      <c r="J87" s="12" t="s">
        <v>659</v>
      </c>
      <c r="K87" s="10"/>
    </row>
    <row r="88" customFormat="false" ht="23.85" hidden="false" customHeight="false" outlineLevel="0" collapsed="false">
      <c r="A88" s="9" t="n">
        <v>87</v>
      </c>
      <c r="B88" s="9" t="s">
        <v>660</v>
      </c>
      <c r="C88" s="9" t="s">
        <v>661</v>
      </c>
      <c r="D88" s="9" t="s">
        <v>662</v>
      </c>
      <c r="E88" s="9" t="s">
        <v>230</v>
      </c>
      <c r="F88" s="9" t="s">
        <v>663</v>
      </c>
      <c r="G88" s="9"/>
      <c r="H88" s="11" t="s">
        <v>664</v>
      </c>
      <c r="I88" s="9" t="s">
        <v>227</v>
      </c>
      <c r="J88" s="11" t="s">
        <v>665</v>
      </c>
      <c r="K88" s="9"/>
    </row>
    <row r="89" customFormat="false" ht="35.05" hidden="false" customHeight="false" outlineLevel="0" collapsed="false">
      <c r="A89" s="10" t="n">
        <v>88</v>
      </c>
      <c r="B89" s="10" t="s">
        <v>666</v>
      </c>
      <c r="C89" s="10" t="s">
        <v>667</v>
      </c>
      <c r="D89" s="10" t="s">
        <v>668</v>
      </c>
      <c r="E89" s="10" t="s">
        <v>354</v>
      </c>
      <c r="F89" s="10" t="s">
        <v>669</v>
      </c>
      <c r="G89" s="10"/>
      <c r="H89" s="12" t="s">
        <v>670</v>
      </c>
      <c r="I89" s="10" t="s">
        <v>283</v>
      </c>
      <c r="J89" s="12" t="s">
        <v>671</v>
      </c>
      <c r="K89" s="10"/>
    </row>
    <row r="90" customFormat="false" ht="23.85" hidden="false" customHeight="false" outlineLevel="0" collapsed="false">
      <c r="A90" s="9" t="n">
        <v>89</v>
      </c>
      <c r="B90" s="9" t="s">
        <v>672</v>
      </c>
      <c r="C90" s="9" t="s">
        <v>673</v>
      </c>
      <c r="D90" s="9" t="s">
        <v>200</v>
      </c>
      <c r="E90" s="9" t="s">
        <v>354</v>
      </c>
      <c r="F90" s="9"/>
      <c r="G90" s="9" t="s">
        <v>674</v>
      </c>
      <c r="H90" s="11" t="s">
        <v>675</v>
      </c>
      <c r="I90" s="9" t="s">
        <v>227</v>
      </c>
      <c r="J90" s="11" t="s">
        <v>675</v>
      </c>
      <c r="K90" s="9"/>
    </row>
    <row r="91" customFormat="false" ht="23.85" hidden="false" customHeight="false" outlineLevel="0" collapsed="false">
      <c r="A91" s="10" t="n">
        <v>90</v>
      </c>
      <c r="B91" s="10" t="s">
        <v>676</v>
      </c>
      <c r="C91" s="10" t="s">
        <v>677</v>
      </c>
      <c r="D91" s="10" t="s">
        <v>200</v>
      </c>
      <c r="E91" s="10" t="s">
        <v>230</v>
      </c>
      <c r="F91" s="10"/>
      <c r="G91" s="10" t="s">
        <v>678</v>
      </c>
      <c r="H91" s="12" t="s">
        <v>679</v>
      </c>
      <c r="I91" s="10" t="s">
        <v>227</v>
      </c>
      <c r="J91" s="12" t="s">
        <v>679</v>
      </c>
      <c r="K91" s="10"/>
    </row>
    <row r="92" customFormat="false" ht="15" hidden="false" customHeight="false" outlineLevel="0" collapsed="false">
      <c r="A92" s="9" t="n">
        <v>91</v>
      </c>
      <c r="B92" s="9" t="s">
        <v>680</v>
      </c>
      <c r="C92" s="9" t="s">
        <v>681</v>
      </c>
      <c r="D92" s="9" t="s">
        <v>682</v>
      </c>
      <c r="E92" s="9" t="s">
        <v>248</v>
      </c>
      <c r="F92" s="9"/>
      <c r="G92" s="9" t="s">
        <v>683</v>
      </c>
      <c r="H92" s="11" t="s">
        <v>684</v>
      </c>
      <c r="I92" s="9" t="s">
        <v>227</v>
      </c>
      <c r="J92" s="11" t="s">
        <v>684</v>
      </c>
      <c r="K92" s="9"/>
    </row>
    <row r="93" customFormat="false" ht="15" hidden="false" customHeight="false" outlineLevel="0" collapsed="false">
      <c r="A93" s="10" t="n">
        <v>92</v>
      </c>
      <c r="B93" s="10" t="s">
        <v>685</v>
      </c>
      <c r="C93" s="10" t="s">
        <v>686</v>
      </c>
      <c r="D93" s="10" t="s">
        <v>687</v>
      </c>
      <c r="E93" s="10"/>
      <c r="F93" s="10"/>
      <c r="G93" s="10"/>
      <c r="H93" s="12" t="s">
        <v>688</v>
      </c>
      <c r="I93" s="10" t="s">
        <v>689</v>
      </c>
      <c r="J93" s="12" t="s">
        <v>688</v>
      </c>
      <c r="K93" s="10"/>
    </row>
    <row r="94" customFormat="false" ht="15" hidden="false" customHeight="false" outlineLevel="0" collapsed="false">
      <c r="A94" s="9" t="n">
        <v>93</v>
      </c>
      <c r="B94" s="9" t="s">
        <v>685</v>
      </c>
      <c r="C94" s="9" t="s">
        <v>690</v>
      </c>
      <c r="D94" s="9" t="s">
        <v>687</v>
      </c>
      <c r="E94" s="9"/>
      <c r="F94" s="9"/>
      <c r="G94" s="9"/>
      <c r="H94" s="11" t="s">
        <v>691</v>
      </c>
      <c r="I94" s="9" t="s">
        <v>689</v>
      </c>
      <c r="J94" s="11" t="s">
        <v>691</v>
      </c>
      <c r="K94" s="9"/>
    </row>
    <row r="95" customFormat="false" ht="46.25" hidden="false" customHeight="false" outlineLevel="0" collapsed="false">
      <c r="A95" s="10" t="n">
        <v>94</v>
      </c>
      <c r="B95" s="10" t="s">
        <v>692</v>
      </c>
      <c r="C95" s="10" t="s">
        <v>693</v>
      </c>
      <c r="D95" s="10" t="s">
        <v>694</v>
      </c>
      <c r="E95" s="10" t="s">
        <v>324</v>
      </c>
      <c r="F95" s="10" t="s">
        <v>695</v>
      </c>
      <c r="G95" s="10"/>
      <c r="H95" s="12" t="s">
        <v>696</v>
      </c>
      <c r="I95" s="10" t="s">
        <v>227</v>
      </c>
      <c r="J95" s="12" t="s">
        <v>697</v>
      </c>
      <c r="K95" s="10" t="s">
        <v>698</v>
      </c>
    </row>
    <row r="96" customFormat="false" ht="23.85" hidden="false" customHeight="false" outlineLevel="0" collapsed="false">
      <c r="A96" s="9" t="n">
        <v>95</v>
      </c>
      <c r="B96" s="9" t="s">
        <v>699</v>
      </c>
      <c r="C96" s="9" t="s">
        <v>700</v>
      </c>
      <c r="D96" s="9" t="s">
        <v>701</v>
      </c>
      <c r="E96" s="9"/>
      <c r="F96" s="9"/>
      <c r="G96" s="9"/>
      <c r="H96" s="11" t="s">
        <v>702</v>
      </c>
      <c r="I96" s="9" t="s">
        <v>689</v>
      </c>
      <c r="J96" s="11" t="s">
        <v>702</v>
      </c>
      <c r="K96" s="9"/>
    </row>
  </sheetData>
  <hyperlinks>
    <hyperlink ref="H2" r:id="rId1" display="https://www.satellitetoday.com/connectivity/2005/08/01/satellite-operators-target-interference-problem/"/>
    <hyperlink ref="J2" r:id="rId2" display="https://www.satellitetoday.com/connectivity/2005/08/01/satellite-operators-target-interference-problem/"/>
    <hyperlink ref="H3" r:id="rId3" display="https://www.microwavejournal.com/articles/18088-tackling-satellite-interference"/>
    <hyperlink ref="J3" r:id="rId4" display="https://www.microwavejournal.com/articles/18088-tackling-satellite-interference"/>
    <hyperlink ref="H4" r:id="rId5" display="https://www.kratosspace.com/-/media/communications/pdf/fact-sheet---complete-vsat-interference-mitigation.pdf"/>
    <hyperlink ref="J4" r:id="rId6" display="https://www.kratosspace.com/-/media/communications/pdf/fact-sheet---complete-vsat-interference-mitigation.pdf"/>
    <hyperlink ref="H5" r:id="rId7" display="https://arxiv.org/abs/2007.10110"/>
    <hyperlink ref="J5" r:id="rId8" display="https://arxiv.org/abs/2007.10110"/>
    <hyperlink ref="H6" r:id="rId9" display="https://www.kratosspace.com/sdatracker/kratos-knownspace-detects-sustained-iran-origin-rf-interference-targeting-geo-communications"/>
    <hyperlink ref="J6" r:id="rId10" display="https://www.kratosspace.com/sdatracker/kratos-knownspace-detects-sustained-iran-origin-rf-interference-targeting-geo-communications"/>
    <hyperlink ref="H7" r:id="rId11" display="https://doi.org/10.1109/MCOM.001.2000367"/>
    <hyperlink ref="J7" r:id="rId12" display="https://api.crossref.org/works/10.1109/MCOM.001.2000367"/>
    <hyperlink ref="H8" r:id="rId13" display="https://arxiv.org/abs/1802.03958"/>
    <hyperlink ref="J8" r:id="rId14" display="https://arxiv.org/abs/1802.03958"/>
    <hyperlink ref="H9" r:id="rId15" display="https://doi.org/10.1109/SPAWC.2016.7536813"/>
    <hyperlink ref="J9" r:id="rId16" display="https://api.crossref.org/works/10.1109/SPAWC.2016.7536813"/>
    <hyperlink ref="H10" r:id="rId17" display="https://doi.org/10.1109/ICASSP.2017.7953366"/>
    <hyperlink ref="J10" r:id="rId18" display="https://api.crossref.org/works/10.1109/ICASSP.2017.7953366"/>
    <hyperlink ref="H12" r:id="rId19" display="https://doi.org/10.1109/79.81007"/>
    <hyperlink ref="J12" r:id="rId20" display="https://api.crossref.org/works/10.1109/79.81007"/>
    <hyperlink ref="H13" r:id="rId21" display="https://doi.org/10.3390/s20020355"/>
    <hyperlink ref="J13" r:id="rId22" display="https://api.crossref.org/works/10.3390/s20020355"/>
    <hyperlink ref="H14" r:id="rId23" display="https://www.itu.int/dms_pubrec/itu-r/rec/s/R-REC-S.2062-0-201409-I!!PDF-E.pdf"/>
    <hyperlink ref="J14" r:id="rId24" display="https://www.itu.int/dms_pubrec/itu-r/rec/s/R-REC-S.2062-0-201409-I!!PDF-E.pdf"/>
    <hyperlink ref="H15" r:id="rId25" display="https://www.satellitetoday.com/technology/2014/03/26/preventing-adjacent-satellite-interference/"/>
    <hyperlink ref="J15" r:id="rId26" display="https://www.satellitetoday.com/technology/2014/03/26/preventing-adjacent-satellite-interference/"/>
    <hyperlink ref="H16" r:id="rId27" display="https://www.rohde-schwarz.com/us/products/aerospace-defense-security/secure-communications-options/rs-gsacsm-communications-system-monitoring_63493-636288.html"/>
    <hyperlink ref="J16" r:id="rId28" display="https://www.rohde-schwarz.com/us/products/aerospace-defense-security/secure-communications-options/rs-gsacsm-communications-system-monitoring_63493-636288.html"/>
    <hyperlink ref="H17" r:id="rId29" display="https://www.integrasys-space.com/interference-detection"/>
    <hyperlink ref="J17" r:id="rId30" display="https://www.integrasys-space.com/interference-detection"/>
    <hyperlink ref="H18" r:id="rId31" display="https://www.calian.com/advanced-technologies/space-satcom/decimator-carrier-under-carrier-detection/"/>
    <hyperlink ref="J18" r:id="rId32" display="https://www.calian.com/advanced-technologies/space-satcom/decimator-carrier-under-carrier-detection/"/>
    <hyperlink ref="H19" r:id="rId33" display="https://doi.org/10.1109/SPAWC.2019.8815532"/>
    <hyperlink ref="J19" r:id="rId34" display="https://api.crossref.org/works/10.1109/SPAWC.2019.8815532"/>
    <hyperlink ref="H20" r:id="rId35" display="https://arxiv.org/abs/1912.04716"/>
    <hyperlink ref="J20" r:id="rId36" display="https://arxiv.org/abs/1912.04716"/>
    <hyperlink ref="H21" r:id="rId37" display="https://doi.org/10.1109/ICASSPW59220.2023.10193395"/>
    <hyperlink ref="J21" r:id="rId38" display="https://api.crossref.org/works/10.1109/ICASSPW59220.2023.10193395"/>
    <hyperlink ref="H22" r:id="rId39" display="https://doi.org/10.1109/PIMRC56721.2023.10293839"/>
    <hyperlink ref="J22" r:id="rId40" display="https://api.crossref.org/works/10.1109/PIMRC56721.2023.10293839"/>
    <hyperlink ref="H23" r:id="rId41" display="https://doi.org/10.1109/ICCWorkshops59551.2024.10615457"/>
    <hyperlink ref="J23" r:id="rId42" display="https://api.crossref.org/works/10.1109/ICCWorkshops59551.2024.10615457"/>
    <hyperlink ref="H24" r:id="rId43" display="https://doi.org/10.1109/TMLCN.2024.3418933"/>
    <hyperlink ref="J24" r:id="rId44" display="https://api.crossref.org/works/10.1109/TMLCN.2024.3418933"/>
    <hyperlink ref="H25" r:id="rId45" display="https://arxiv.org/abs/2606.14147"/>
    <hyperlink ref="J25" r:id="rId46" display="https://arxiv.org/abs/2606.14147"/>
    <hyperlink ref="H26" r:id="rId47" display="https://doi.org/10.1145/3231884.3231901"/>
    <hyperlink ref="J26" r:id="rId48" display="https://api.crossref.org/works/10.1145/3231884.3231901"/>
    <hyperlink ref="H27" r:id="rId49" display="https://doi.org/10.1109/ACSAT63853.2024.10823708"/>
    <hyperlink ref="J27" r:id="rId50" display="https://api.crossref.org/works/10.1109/ACSAT63853.2024.10823708"/>
    <hyperlink ref="H28" r:id="rId51" display="https://doi.org/10.1109/ICECAI66283.2025.11170987"/>
    <hyperlink ref="J28" r:id="rId52" display="https://api.crossref.org/works/10.1109/ICECAI66283.2025.11170987"/>
    <hyperlink ref="H29" r:id="rId53" display="https://doi.org/10.3390/aerospace10020101"/>
    <hyperlink ref="J29" r:id="rId54" display="https://api.crossref.org/works/10.3390/aerospace10020101"/>
    <hyperlink ref="H30" r:id="rId55" display="https://arxiv.org/abs/2101.10899"/>
    <hyperlink ref="J30" r:id="rId56" display="https://arxiv.org/abs/2101.10899"/>
    <hyperlink ref="H31" r:id="rId57" display="https://orbilu.uni.lu/bitstream/10993/65397/1/Artificial_Intelligence_for_Satellite_Communication_A_Survey.pdf"/>
    <hyperlink ref="J31" r:id="rId58" display="https://orbilu.uni.lu/bitstream/10993/65397/1/Artificial_Intelligence_for_Satellite_Communication_A_Survey.pdf"/>
    <hyperlink ref="H32" r:id="rId59" display="https://doi.org/10.1002/sat.1482"/>
    <hyperlink ref="J32" r:id="rId60" display="https://api.crossref.org/works/10.1002/sat.1482"/>
    <hyperlink ref="H33" r:id="rId61" display="https://doi.org/10.33012/2022.18586"/>
    <hyperlink ref="J33" r:id="rId62" display="https://www.researchgate.net/publication/364056875"/>
    <hyperlink ref="H34" r:id="rId63" display="https://doi.org/10.3390/s23073452"/>
    <hyperlink ref="J34" r:id="rId64" display="https://api.crossref.org/works/10.3390/s23073452"/>
    <hyperlink ref="H35" r:id="rId65" display="https://doi.org/10.1109/ICL-GNSS60721.2024.10578525"/>
    <hyperlink ref="J35" r:id="rId66" display="https://api.crossref.org/works/10.1109/ICL-GNSS60721.2024.10578525"/>
    <hyperlink ref="H36" r:id="rId67" display="https://arxiv.org/abs/2503.23775"/>
    <hyperlink ref="J36" r:id="rId68" display="https://arxiv.org/abs/2503.23775"/>
    <hyperlink ref="H37" r:id="rId69" display="https://arxiv.org/abs/2504.10556"/>
    <hyperlink ref="J37" r:id="rId70" display="https://arxiv.org/abs/2504.10556"/>
    <hyperlink ref="H38" r:id="rId71" display="https://arxiv.org/abs/2607.03411"/>
    <hyperlink ref="J38" r:id="rId72" display="https://arxiv.org/abs/2607.03411"/>
    <hyperlink ref="H39" r:id="rId73" display="https://doi.org/10.1109/TAES.2024.3462662"/>
    <hyperlink ref="J39" r:id="rId74" display="https://api.crossref.org/works/10.1109/TAES.2024.3462662"/>
    <hyperlink ref="H40" r:id="rId75" display="https://doi.org/10.1109/JSTSP.2018.2797022"/>
    <hyperlink ref="J40" r:id="rId76" display="https://api.crossref.org/works/10.1109/JSTSP.2018.2797022"/>
    <hyperlink ref="H41" r:id="rId77" display="https://arxiv.org/abs/2207.09918"/>
    <hyperlink ref="J41" r:id="rId78" display="https://arxiv.org/abs/2207.09918"/>
    <hyperlink ref="H42" r:id="rId79" display="https://arxiv.org/abs/2211.10335"/>
    <hyperlink ref="J42" r:id="rId80" display="https://arxiv.org/abs/2211.10335"/>
    <hyperlink ref="H43" r:id="rId81" display="https://doi.org/10.1109/ACCESS.2018.2818794"/>
    <hyperlink ref="J43" r:id="rId82" display="https://api.crossref.org/works/10.1109/ACCESS.2018.2818794"/>
    <hyperlink ref="H44" r:id="rId83" display="https://arxiv.org/abs/2003.08359"/>
    <hyperlink ref="J44" r:id="rId84" display="https://arxiv.org/abs/2003.08359"/>
    <hyperlink ref="H45" r:id="rId85" display="http://phwl.org/assets/papers/cycloamc_fpt25.pdf"/>
    <hyperlink ref="J45" r:id="rId86" display="http://phwl.org/assets/papers/cycloamc_fpt25.pdf"/>
    <hyperlink ref="H46" r:id="rId87" display="https://arxiv.org/abs/2303.03326"/>
    <hyperlink ref="J46" r:id="rId88" display="https://arxiv.org/abs/2303.03326"/>
    <hyperlink ref="H47" r:id="rId89" display="https://arxiv.org/abs/2108.10056"/>
    <hyperlink ref="J47" r:id="rId90" display="https://arxiv.org/abs/2108.10056"/>
    <hyperlink ref="H48" r:id="rId91" display="https://arxiv.org/abs/2112.08988"/>
    <hyperlink ref="J48" r:id="rId92" display="https://arxiv.org/abs/2112.08988"/>
    <hyperlink ref="H49" r:id="rId93" display="https://arxiv.org/abs/1512.03385"/>
    <hyperlink ref="J49" r:id="rId94" display="https://arxiv.org/abs/1512.03385"/>
    <hyperlink ref="H50" r:id="rId95" display="https://arxiv.org/abs/2104.01778"/>
    <hyperlink ref="J50" r:id="rId96" display="https://arxiv.org/abs/2104.01778"/>
    <hyperlink ref="H51" r:id="rId97" display="https://arxiv.org/abs/1709.07871"/>
    <hyperlink ref="J51" r:id="rId98" display="https://arxiv.org/abs/1709.07871"/>
    <hyperlink ref="H52" r:id="rId99" display="https://doi.org/10.1109/TCOM.1981.1094911"/>
    <hyperlink ref="J52" r:id="rId100" display="https://api.crossref.org/works/10.1109/TCOM.1981.1094911"/>
    <hyperlink ref="H53" r:id="rId101" display="https://doi.org/10.1109/JPROC.2005.861013"/>
    <hyperlink ref="J53" r:id="rId102" display="https://api.crossref.org/works/10.1109/JPROC.2005.861013"/>
    <hyperlink ref="H54" r:id="rId103" display="https://doi.org/10.1002/sat.791"/>
    <hyperlink ref="J54" r:id="rId104" display="https://api.crossref.org/works/10.1002/sat.791"/>
    <hyperlink ref="H55" r:id="rId105" display="https://dvb.org/wp-content/uploads/2020/02/A171-2_DVB-S2X_Implementation-Guidelines_Draft-TR-102-376-2_v121_Apr-2020.pdf"/>
    <hyperlink ref="J55" r:id="rId106" display="https://dvb.org/wp-content/uploads/2020/02/A171-2_DVB-S2X_Implementation-Guidelines_Draft-TR-102-376-2_v121_Apr-2020.pdf"/>
    <hyperlink ref="H56" r:id="rId107" display="https://doi.org/10.1109/TCOMM.2011.042111.100320"/>
    <hyperlink ref="J56" r:id="rId108" display="https://api.crossref.org/works/10.1109/TCOMM.2011.042111.100320"/>
    <hyperlink ref="H57" r:id="rId109" display="https://doi.org/10.1049/el.2014.1172"/>
    <hyperlink ref="J57" r:id="rId110" display="https://api.crossref.org/works/10.1049/el.2014.1172"/>
    <hyperlink ref="H58" r:id="rId111" display="https://www.researchgate.net/publication/349494998"/>
    <hyperlink ref="J58" r:id="rId112" display="https://www.researchgate.net/publication/349494998"/>
    <hyperlink ref="J59" r:id="rId113" display="https://api.crossref.org/works/10.1109/TCOM.1981.1094911 (reference list of [51])"/>
    <hyperlink ref="H60" r:id="rId114" display="https://arxiv.org/abs/2506.14557"/>
    <hyperlink ref="J60" r:id="rId115" display="https://arxiv.org/abs/2506.14557"/>
    <hyperlink ref="H61" r:id="rId116" display="https://doi.org/10.3390/s25123743"/>
    <hyperlink ref="J61" r:id="rId117" display="https://api.crossref.org/works/10.3390/s25123743"/>
    <hyperlink ref="H62" r:id="rId118" display="https://arxiv.org/abs/2401.08318"/>
    <hyperlink ref="J62" r:id="rId119" display="https://arxiv.org/abs/2401.08318"/>
    <hyperlink ref="H63" r:id="rId120" display="https://arxiv.org/abs/2507.06849"/>
    <hyperlink ref="J63" r:id="rId121" display="https://arxiv.org/abs/2507.06849"/>
    <hyperlink ref="H64" r:id="rId122" display="https://arxiv.org/abs/1811.04521"/>
    <hyperlink ref="J64" r:id="rId123" display="https://arxiv.org/abs/1811.04521"/>
    <hyperlink ref="H65" r:id="rId124" display="https://doi.org/10.1049/joe.2015.0178"/>
    <hyperlink ref="J65" r:id="rId125" display="https://api.crossref.org/works/10.1049/joe.2015.0178"/>
    <hyperlink ref="H66" r:id="rId126" display="https://ipnpr.jpl.nasa.gov/progress_report/42-213/42-213A.pdf"/>
    <hyperlink ref="J66" r:id="rId127" display="https://ipnpr.jpl.nasa.gov/progress_report/42-213/42-213A.pdf"/>
    <hyperlink ref="H67" r:id="rId128" display="https://doi.org/10.1109/ICCSNT.2013.6967240"/>
    <hyperlink ref="J67" r:id="rId129" display="https://api.crossref.org/works/10.1109/ICCSNT.2013.6967240"/>
    <hyperlink ref="H68" r:id="rId130" display="https://doi.org/10.1109/VTCFall.2013.6692242"/>
    <hyperlink ref="J68" r:id="rId131" display="https://api.crossref.org/works/10.1109/VTCFall.2013.6692242"/>
    <hyperlink ref="H69" r:id="rId132" display="https://doi.org/10.1109/TPAMI.2020.2981604"/>
    <hyperlink ref="J69" r:id="rId133" display="https://api.crossref.org/works/10.1109/TPAMI.2020.2981604"/>
    <hyperlink ref="H70" r:id="rId134" display="https://doi.org/10.1007/s11263-024-02117-4"/>
    <hyperlink ref="J70" r:id="rId135" display="https://api.crossref.org/works/10.1007/s11263-024-02117-4"/>
    <hyperlink ref="H71" r:id="rId136" display="https://arxiv.org/abs/1610.02136"/>
    <hyperlink ref="J71" r:id="rId137" display="https://arxiv.org/abs/1610.02136"/>
    <hyperlink ref="H72" r:id="rId138" display="https://arxiv.org/abs/1706.02690"/>
    <hyperlink ref="J72" r:id="rId139" display="https://arxiv.org/abs/1706.02690"/>
    <hyperlink ref="H73" r:id="rId140" display="https://arxiv.org/abs/2010.03759"/>
    <hyperlink ref="J73" r:id="rId141" display="https://arxiv.org/abs/2010.03759"/>
    <hyperlink ref="H74" r:id="rId142" display="https://arxiv.org/abs/1807.03888"/>
    <hyperlink ref="J74" r:id="rId143" display="https://arxiv.org/abs/1807.03888"/>
    <hyperlink ref="H75" r:id="rId144" display="https://arxiv.org/abs/1511.06233"/>
    <hyperlink ref="J75" r:id="rId145" display="https://arxiv.org/abs/1511.06233"/>
    <hyperlink ref="H76" r:id="rId146" display="https://doi.org/10.1109/TPAMI.2021.3106743"/>
    <hyperlink ref="J76" r:id="rId147" display="https://api.crossref.org/works/10.1109/TPAMI.2021.3106743"/>
    <hyperlink ref="H77" r:id="rId148" display="https://arxiv.org/abs/2110.06207"/>
    <hyperlink ref="J77" r:id="rId149" display="https://arxiv.org/abs/2110.06207"/>
    <hyperlink ref="H78" r:id="rId150" display="https://arxiv.org/abs/1811.04110"/>
    <hyperlink ref="J78" r:id="rId151" display="https://arxiv.org/abs/1811.04110"/>
    <hyperlink ref="H79" r:id="rId152" display="https://arxiv.org/abs/2002.12037"/>
    <hyperlink ref="J79" r:id="rId153" display="https://arxiv.org/abs/2002.12037"/>
    <hyperlink ref="H80" r:id="rId154" display="https://arxiv.org/abs/2312.13023"/>
    <hyperlink ref="J80" r:id="rId155" display="https://arxiv.org/abs/2312.13023"/>
    <hyperlink ref="H81" r:id="rId156" display="https://arxiv.org/abs/2410.10265"/>
    <hyperlink ref="J81" r:id="rId157" display="https://arxiv.org/abs/2410.10265"/>
    <hyperlink ref="H82" r:id="rId158" display="https://arxiv.org/abs/2405.05022"/>
    <hyperlink ref="J82" r:id="rId159" display="https://arxiv.org/abs/2405.05022"/>
    <hyperlink ref="H83" r:id="rId160" display="https://arxiv.org/abs/2306.13895"/>
    <hyperlink ref="J83" r:id="rId161" display="https://arxiv.org/abs/2306.13895"/>
    <hyperlink ref="H84" r:id="rId162" display="https://arxiv.org/abs/2302.03749"/>
    <hyperlink ref="J84" r:id="rId163" display="https://arxiv.org/abs/2302.03749"/>
    <hyperlink ref="H85" r:id="rId164" display="https://doi.org/10.3390/app12094380"/>
    <hyperlink ref="J85" r:id="rId165" display="https://api.crossref.org/works/10.3390/app12094380"/>
    <hyperlink ref="H86" r:id="rId166" display="https://doi.org/10.3390/rs14246220"/>
    <hyperlink ref="J86" r:id="rId167" display="https://api.crossref.org/works/10.3390/rs14246220"/>
    <hyperlink ref="H87" r:id="rId168" display="https://doi.org/10.1049/rsn2.12561"/>
    <hyperlink ref="J87" r:id="rId169" display="https://api.crossref.org/works/10.1049/rsn2.12561"/>
    <hyperlink ref="H88" r:id="rId170" display="https://doi.org/10.1049/cmu2.70198"/>
    <hyperlink ref="J88" r:id="rId171" display="https://api.crossref.org/works/10.1049/cmu2.70198"/>
    <hyperlink ref="H89" r:id="rId172" display="https://doi.org/10.20944/preprints202503.2079.v1"/>
    <hyperlink ref="J89" r:id="rId173" display="https://www.preprints.org/manuscript/202503.2079/v1"/>
    <hyperlink ref="H90" r:id="rId174" display="https://arxiv.org/abs/2510.23186"/>
    <hyperlink ref="J90" r:id="rId175" display="https://arxiv.org/abs/2510.23186"/>
    <hyperlink ref="H91" r:id="rId176" display="https://arxiv.org/abs/2605.04676"/>
    <hyperlink ref="J91" r:id="rId177" display="https://arxiv.org/abs/2605.04676"/>
    <hyperlink ref="H92" r:id="rId178" display="https://arxiv.org/abs/1603.02754"/>
    <hyperlink ref="J92" r:id="rId179" display="https://arxiv.org/abs/1603.02754"/>
    <hyperlink ref="H93" r:id="rId180" display="https://fnr-smartspace-project.uni.lu/satellite-on-board-interference-detection/"/>
    <hyperlink ref="J93" r:id="rId181" display="https://fnr-smartspace-project.uni.lu/satellite-on-board-interference-detection/"/>
    <hyperlink ref="H94" r:id="rId182" display="https://fnr-smartspace-project.uni.lu/ngso-to-gsos-users-interference/"/>
    <hyperlink ref="J94" r:id="rId183" display="https://fnr-smartspace-project.uni.lu/ngso-to-gsos-users-interference/"/>
    <hyperlink ref="H95" r:id="rId184" display="https://doi.org/10.21227/xpm9-tt28"/>
    <hyperlink ref="J95" r:id="rId185" display="https://api.datacite.org/dois/10.21227/xpm9-tt28"/>
    <hyperlink ref="H96" r:id="rId186" display="https://zenodo.org/records/21336653"/>
    <hyperlink ref="J96" r:id="rId187" display="https://zenodo.org/records/2133665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8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60"/>
    <col collapsed="false" customWidth="true" hidden="false" outlineLevel="0" max="4" min="4" style="0" width="62"/>
    <col collapsed="false" customWidth="true" hidden="false" outlineLevel="0" max="5" min="5" style="0" width="52"/>
    <col collapsed="false" customWidth="true" hidden="false" outlineLevel="0" max="6" min="6" style="0" width="10"/>
  </cols>
  <sheetData>
    <row r="1" customFormat="false" ht="26.85" hidden="false" customHeight="false" outlineLevel="0" collapsed="false">
      <c r="A1" s="8" t="s">
        <v>703</v>
      </c>
      <c r="B1" s="8" t="s">
        <v>59</v>
      </c>
      <c r="C1" s="8" t="s">
        <v>704</v>
      </c>
      <c r="D1" s="8" t="s">
        <v>705</v>
      </c>
      <c r="E1" s="8" t="s">
        <v>203</v>
      </c>
      <c r="F1" s="8" t="s">
        <v>706</v>
      </c>
    </row>
    <row r="2" customFormat="false" ht="15" hidden="false" customHeight="false" outlineLevel="0" collapsed="false">
      <c r="A2" s="9" t="n">
        <v>72</v>
      </c>
      <c r="B2" s="9" t="s">
        <v>707</v>
      </c>
      <c r="C2" s="9" t="s">
        <v>708</v>
      </c>
      <c r="D2" s="9" t="s">
        <v>709</v>
      </c>
      <c r="E2" s="11" t="s">
        <v>594</v>
      </c>
      <c r="F2" s="9" t="s">
        <v>710</v>
      </c>
    </row>
    <row r="3" customFormat="false" ht="23.85" hidden="false" customHeight="false" outlineLevel="0" collapsed="false">
      <c r="A3" s="10" t="n">
        <v>20</v>
      </c>
      <c r="B3" s="10" t="s">
        <v>707</v>
      </c>
      <c r="C3" s="10" t="s">
        <v>711</v>
      </c>
      <c r="D3" s="10" t="s">
        <v>712</v>
      </c>
      <c r="E3" s="12" t="s">
        <v>713</v>
      </c>
      <c r="F3" s="10" t="s">
        <v>714</v>
      </c>
    </row>
    <row r="4" customFormat="false" ht="15" hidden="false" customHeight="false" outlineLevel="0" collapsed="false">
      <c r="A4" s="9" t="n">
        <v>38</v>
      </c>
      <c r="B4" s="9" t="s">
        <v>707</v>
      </c>
      <c r="C4" s="9" t="s">
        <v>715</v>
      </c>
      <c r="D4" s="9" t="s">
        <v>716</v>
      </c>
      <c r="E4" s="11" t="s">
        <v>414</v>
      </c>
      <c r="F4" s="9" t="s">
        <v>714</v>
      </c>
    </row>
    <row r="5" customFormat="false" ht="15" hidden="false" customHeight="false" outlineLevel="0" collapsed="false">
      <c r="A5" s="10" t="n">
        <v>30</v>
      </c>
      <c r="B5" s="10" t="s">
        <v>707</v>
      </c>
      <c r="C5" s="10" t="s">
        <v>717</v>
      </c>
      <c r="D5" s="10" t="s">
        <v>368</v>
      </c>
      <c r="E5" s="12" t="s">
        <v>371</v>
      </c>
      <c r="F5" s="10" t="s">
        <v>714</v>
      </c>
    </row>
    <row r="6" customFormat="false" ht="23.85" hidden="false" customHeight="false" outlineLevel="0" collapsed="false">
      <c r="A6" s="9" t="n">
        <v>58</v>
      </c>
      <c r="B6" s="9" t="s">
        <v>718</v>
      </c>
      <c r="C6" s="9" t="s">
        <v>719</v>
      </c>
      <c r="D6" s="9" t="s">
        <v>720</v>
      </c>
      <c r="E6" s="11" t="s">
        <v>721</v>
      </c>
      <c r="F6" s="9" t="s">
        <v>710</v>
      </c>
    </row>
    <row r="7" customFormat="false" ht="15" hidden="false" customHeight="false" outlineLevel="0" collapsed="false">
      <c r="A7" s="10" t="n">
        <v>84</v>
      </c>
      <c r="B7" s="10" t="s">
        <v>722</v>
      </c>
      <c r="C7" s="10" t="s">
        <v>723</v>
      </c>
      <c r="D7" s="10" t="s">
        <v>724</v>
      </c>
      <c r="E7" s="12" t="s">
        <v>725</v>
      </c>
      <c r="F7" s="10" t="s">
        <v>714</v>
      </c>
    </row>
    <row r="8" customFormat="false" ht="23.85" hidden="false" customHeight="false" outlineLevel="0" collapsed="false">
      <c r="A8" s="9" t="n">
        <v>66</v>
      </c>
      <c r="B8" s="9" t="s">
        <v>707</v>
      </c>
      <c r="C8" s="9" t="s">
        <v>726</v>
      </c>
      <c r="D8" s="9" t="s">
        <v>727</v>
      </c>
      <c r="E8" s="11" t="s">
        <v>559</v>
      </c>
      <c r="F8" s="9" t="s">
        <v>728</v>
      </c>
    </row>
    <row r="9" customFormat="false" ht="23.85" hidden="false" customHeight="false" outlineLevel="0" collapsed="false">
      <c r="A9" s="10" t="n">
        <v>25</v>
      </c>
      <c r="B9" s="10" t="s">
        <v>707</v>
      </c>
      <c r="C9" s="10" t="s">
        <v>729</v>
      </c>
      <c r="D9" s="10" t="s">
        <v>730</v>
      </c>
      <c r="E9" s="12" t="s">
        <v>344</v>
      </c>
      <c r="F9" s="10" t="s">
        <v>714</v>
      </c>
    </row>
    <row r="10" customFormat="false" ht="15" hidden="false" customHeight="false" outlineLevel="0" collapsed="false">
      <c r="A10" s="9" t="n">
        <v>60</v>
      </c>
      <c r="B10" s="9" t="s">
        <v>707</v>
      </c>
      <c r="C10" s="9" t="s">
        <v>731</v>
      </c>
      <c r="D10" s="9" t="s">
        <v>732</v>
      </c>
      <c r="E10" s="11" t="s">
        <v>733</v>
      </c>
      <c r="F10" s="9" t="s">
        <v>714</v>
      </c>
    </row>
    <row r="11" customFormat="false" ht="15" hidden="false" customHeight="false" outlineLevel="0" collapsed="false">
      <c r="A11" s="10" t="n">
        <v>65</v>
      </c>
      <c r="B11" s="10" t="s">
        <v>707</v>
      </c>
      <c r="C11" s="10" t="s">
        <v>734</v>
      </c>
      <c r="D11" s="10" t="s">
        <v>735</v>
      </c>
      <c r="E11" s="12" t="s">
        <v>553</v>
      </c>
      <c r="F11" s="10" t="s">
        <v>728</v>
      </c>
    </row>
    <row r="12" customFormat="false" ht="15" hidden="false" customHeight="false" outlineLevel="0" collapsed="false">
      <c r="A12" s="9" t="n">
        <v>76</v>
      </c>
      <c r="B12" s="9" t="s">
        <v>707</v>
      </c>
      <c r="C12" s="9" t="s">
        <v>736</v>
      </c>
      <c r="D12" s="9" t="s">
        <v>737</v>
      </c>
      <c r="E12" s="11" t="s">
        <v>613</v>
      </c>
      <c r="F12" s="9" t="s">
        <v>728</v>
      </c>
    </row>
    <row r="13" customFormat="false" ht="15" hidden="false" customHeight="false" outlineLevel="0" collapsed="false">
      <c r="A13" s="10" t="n">
        <v>11</v>
      </c>
      <c r="B13" s="10" t="s">
        <v>707</v>
      </c>
      <c r="C13" s="10" t="s">
        <v>738</v>
      </c>
      <c r="D13" s="10" t="s">
        <v>739</v>
      </c>
      <c r="E13" s="12" t="s">
        <v>270</v>
      </c>
      <c r="F13" s="10" t="s">
        <v>728</v>
      </c>
    </row>
    <row r="14" customFormat="false" ht="15" hidden="false" customHeight="false" outlineLevel="0" collapsed="false">
      <c r="A14" s="9" t="n">
        <v>33</v>
      </c>
      <c r="B14" s="9" t="s">
        <v>707</v>
      </c>
      <c r="C14" s="9" t="s">
        <v>738</v>
      </c>
      <c r="D14" s="9" t="s">
        <v>740</v>
      </c>
      <c r="E14" s="11" t="s">
        <v>390</v>
      </c>
      <c r="F14" s="9" t="s">
        <v>728</v>
      </c>
    </row>
    <row r="15" customFormat="false" ht="15" hidden="false" customHeight="false" outlineLevel="0" collapsed="false">
      <c r="A15" s="10" t="n">
        <v>51</v>
      </c>
      <c r="B15" s="10" t="s">
        <v>707</v>
      </c>
      <c r="C15" s="10" t="s">
        <v>738</v>
      </c>
      <c r="D15" s="10" t="s">
        <v>741</v>
      </c>
      <c r="E15" s="12" t="s">
        <v>478</v>
      </c>
      <c r="F15" s="10" t="s">
        <v>728</v>
      </c>
    </row>
    <row r="16" customFormat="false" ht="15" hidden="false" customHeight="false" outlineLevel="0" collapsed="false">
      <c r="A16" s="9" t="n">
        <v>94</v>
      </c>
      <c r="B16" s="9" t="s">
        <v>707</v>
      </c>
      <c r="C16" s="9" t="s">
        <v>742</v>
      </c>
      <c r="D16" s="9" t="s">
        <v>743</v>
      </c>
      <c r="E16" s="11" t="s">
        <v>697</v>
      </c>
      <c r="F16" s="9" t="s">
        <v>728</v>
      </c>
    </row>
    <row r="17" customFormat="false" ht="15" hidden="false" customHeight="false" outlineLevel="0" collapsed="false">
      <c r="A17" s="10" t="n">
        <v>88</v>
      </c>
      <c r="B17" s="10" t="s">
        <v>707</v>
      </c>
      <c r="C17" s="10" t="s">
        <v>744</v>
      </c>
      <c r="D17" s="10" t="s">
        <v>745</v>
      </c>
      <c r="E17" s="12" t="s">
        <v>671</v>
      </c>
      <c r="F17" s="10" t="s">
        <v>728</v>
      </c>
    </row>
    <row r="18" customFormat="false" ht="15" hidden="false" customHeight="false" outlineLevel="0" collapsed="false">
      <c r="A18" s="9" t="n">
        <v>69</v>
      </c>
      <c r="B18" s="9" t="s">
        <v>707</v>
      </c>
      <c r="C18" s="9" t="s">
        <v>746</v>
      </c>
      <c r="D18" s="9" t="s">
        <v>747</v>
      </c>
      <c r="E18" s="11" t="s">
        <v>579</v>
      </c>
      <c r="F18" s="9" t="s">
        <v>728</v>
      </c>
    </row>
    <row r="19" customFormat="false" ht="15" hidden="false" customHeight="false" outlineLevel="0" collapsed="false">
      <c r="A19" s="10" t="n">
        <v>68</v>
      </c>
      <c r="B19" s="10" t="s">
        <v>707</v>
      </c>
      <c r="C19" s="10" t="s">
        <v>748</v>
      </c>
      <c r="D19" s="10" t="s">
        <v>749</v>
      </c>
      <c r="E19" s="12" t="s">
        <v>572</v>
      </c>
      <c r="F19" s="10" t="s">
        <v>728</v>
      </c>
    </row>
    <row r="20" customFormat="false" ht="15" hidden="false" customHeight="false" outlineLevel="0" collapsed="false">
      <c r="A20" s="9" t="s">
        <v>750</v>
      </c>
      <c r="B20" s="9" t="s">
        <v>707</v>
      </c>
      <c r="C20" s="9" t="s">
        <v>751</v>
      </c>
      <c r="D20" s="9" t="s">
        <v>752</v>
      </c>
      <c r="E20" s="9" t="s">
        <v>753</v>
      </c>
      <c r="F20" s="9" t="s">
        <v>728</v>
      </c>
    </row>
    <row r="21" customFormat="false" ht="23.85" hidden="false" customHeight="false" outlineLevel="0" collapsed="false">
      <c r="A21" s="10" t="s">
        <v>54</v>
      </c>
      <c r="B21" s="10" t="s">
        <v>754</v>
      </c>
      <c r="C21" s="10" t="s">
        <v>755</v>
      </c>
      <c r="D21" s="10" t="s">
        <v>756</v>
      </c>
      <c r="E21" s="10" t="s">
        <v>757</v>
      </c>
      <c r="F21" s="10" t="s">
        <v>728</v>
      </c>
    </row>
    <row r="22" customFormat="false" ht="23.85" hidden="false" customHeight="false" outlineLevel="0" collapsed="false">
      <c r="A22" s="9" t="s">
        <v>54</v>
      </c>
      <c r="B22" s="9" t="s">
        <v>758</v>
      </c>
      <c r="C22" s="9" t="s">
        <v>759</v>
      </c>
      <c r="D22" s="9" t="s">
        <v>760</v>
      </c>
      <c r="E22" s="9" t="s">
        <v>761</v>
      </c>
      <c r="F22" s="9" t="s">
        <v>728</v>
      </c>
    </row>
  </sheetData>
  <hyperlinks>
    <hyperlink ref="E2" r:id="rId1" display="https://arxiv.org/abs/2010.03759"/>
    <hyperlink ref="E3" r:id="rId2" display="https://api.crossref.org/works?query.bibliographic=CNN-Based+On-Board+Interference+Detection"/>
    <hyperlink ref="E4" r:id="rId3" display="https://doi.org/10.1109/TAES.2024.3462662"/>
    <hyperlink ref="E5" r:id="rId4" display="https://orbilu.uni.lu/bitstream/10993/65397/1/Artificial_Intelligence_for_Satellite_Communication_A_Survey.pdf"/>
    <hyperlink ref="E6" r:id="rId5" display="https://patents.google.com/patent/US10103804B2/en"/>
    <hyperlink ref="E7" r:id="rId6" display="https://www.mdpi.com/2076-3417/12/9/4380"/>
    <hyperlink ref="E8" r:id="rId7" display="https://doi.org/10.1109/ICCSNT.2013.6967240"/>
    <hyperlink ref="E9" r:id="rId8" display="https://api.crossref.org/works/10.1145/3231884.3231901"/>
    <hyperlink ref="E10" r:id="rId9" display="https://pmc.ncbi.nlm.nih.gov/articles/PMC12197282/"/>
    <hyperlink ref="E11" r:id="rId10" display="https://ipnpr.jpl.nasa.gov/progress_report/42-213/42-213A.pdf"/>
    <hyperlink ref="E12" r:id="rId11" display="https://arxiv.org/abs/2110.06207"/>
    <hyperlink ref="E13" r:id="rId12" display="https://api.crossref.org/works/10.1109/79.81007"/>
    <hyperlink ref="E14" r:id="rId13" display="https://api.crossref.org/works/10.3390/s23073452"/>
    <hyperlink ref="E15" r:id="rId14" display="https://api.crossref.org/works/10.1109/TCOM.1981.1094911"/>
    <hyperlink ref="E16" r:id="rId15" display="https://api.datacite.org/dois/10.21227/xpm9-tt28"/>
    <hyperlink ref="E17" r:id="rId16" display="https://www.preprints.org/manuscript/202503.2079/v1"/>
    <hyperlink ref="E18" r:id="rId17" display="https://doi.org/10.1007/s11263-024-02117-4"/>
    <hyperlink ref="E19" r:id="rId18" display="https://doi.org/10.1109/TPAMI.2020.298160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2"/>
    <col collapsed="false" customWidth="true" hidden="false" outlineLevel="0" max="4" min="3" style="0" width="13"/>
    <col collapsed="false" customWidth="true" hidden="false" outlineLevel="0" max="5" min="5" style="0" width="80"/>
  </cols>
  <sheetData>
    <row r="1" customFormat="false" ht="26.85" hidden="false" customHeight="false" outlineLevel="0" collapsed="false">
      <c r="A1" s="8" t="s">
        <v>35</v>
      </c>
      <c r="B1" s="8" t="s">
        <v>137</v>
      </c>
      <c r="C1" s="8" t="s">
        <v>762</v>
      </c>
      <c r="D1" s="8" t="s">
        <v>763</v>
      </c>
      <c r="E1" s="8" t="s">
        <v>764</v>
      </c>
    </row>
    <row r="2" customFormat="false" ht="15" hidden="false" customHeight="false" outlineLevel="0" collapsed="false">
      <c r="A2" s="9" t="s">
        <v>765</v>
      </c>
      <c r="B2" s="9" t="s">
        <v>766</v>
      </c>
      <c r="C2" s="9" t="n">
        <v>0</v>
      </c>
      <c r="D2" s="9" t="n">
        <v>0</v>
      </c>
      <c r="E2" s="9"/>
    </row>
    <row r="3" customFormat="false" ht="15" hidden="false" customHeight="false" outlineLevel="0" collapsed="false">
      <c r="A3" s="10" t="s">
        <v>767</v>
      </c>
      <c r="B3" s="10" t="s">
        <v>768</v>
      </c>
      <c r="C3" s="10" t="n">
        <v>0</v>
      </c>
      <c r="D3" s="10" t="n">
        <v>0</v>
      </c>
      <c r="E3" s="10"/>
    </row>
    <row r="4" customFormat="false" ht="15" hidden="false" customHeight="false" outlineLevel="0" collapsed="false">
      <c r="A4" s="9" t="s">
        <v>769</v>
      </c>
      <c r="B4" s="9" t="s">
        <v>770</v>
      </c>
      <c r="C4" s="9" t="n">
        <v>0</v>
      </c>
      <c r="D4" s="9" t="n">
        <v>0</v>
      </c>
      <c r="E4" s="9"/>
    </row>
    <row r="5" customFormat="false" ht="15" hidden="false" customHeight="false" outlineLevel="0" collapsed="false">
      <c r="A5" s="10" t="s">
        <v>771</v>
      </c>
      <c r="B5" s="10" t="s">
        <v>772</v>
      </c>
      <c r="C5" s="10" t="n">
        <v>8</v>
      </c>
      <c r="D5" s="10" t="n">
        <v>0</v>
      </c>
      <c r="E5" s="10"/>
    </row>
    <row r="6" customFormat="false" ht="15" hidden="false" customHeight="false" outlineLevel="0" collapsed="false">
      <c r="A6" s="9" t="s">
        <v>773</v>
      </c>
      <c r="B6" s="9" t="s">
        <v>774</v>
      </c>
      <c r="C6" s="9" t="n">
        <v>125</v>
      </c>
      <c r="D6" s="9" t="n">
        <v>0</v>
      </c>
      <c r="E6" s="9"/>
    </row>
    <row r="7" customFormat="false" ht="15" hidden="false" customHeight="false" outlineLevel="0" collapsed="false">
      <c r="A7" s="10" t="s">
        <v>775</v>
      </c>
      <c r="B7" s="10" t="s">
        <v>776</v>
      </c>
      <c r="C7" s="10" t="n">
        <v>0</v>
      </c>
      <c r="D7" s="10" t="n">
        <v>0</v>
      </c>
      <c r="E7" s="10"/>
    </row>
    <row r="8" customFormat="false" ht="15" hidden="false" customHeight="false" outlineLevel="0" collapsed="false">
      <c r="A8" s="9" t="s">
        <v>777</v>
      </c>
      <c r="B8" s="9" t="s">
        <v>778</v>
      </c>
      <c r="C8" s="9" t="n">
        <v>1</v>
      </c>
      <c r="D8" s="9" t="n">
        <v>0</v>
      </c>
      <c r="E8" s="9"/>
    </row>
    <row r="9" customFormat="false" ht="15" hidden="false" customHeight="false" outlineLevel="0" collapsed="false">
      <c r="A9" s="10" t="s">
        <v>779</v>
      </c>
      <c r="B9" s="10" t="s">
        <v>780</v>
      </c>
      <c r="C9" s="10" t="n">
        <v>0</v>
      </c>
      <c r="D9" s="10" t="n">
        <v>0</v>
      </c>
      <c r="E9" s="10"/>
    </row>
    <row r="10" customFormat="false" ht="46.25" hidden="false" customHeight="false" outlineLevel="0" collapsed="false">
      <c r="A10" s="9" t="s">
        <v>781</v>
      </c>
      <c r="B10" s="9" t="s">
        <v>782</v>
      </c>
      <c r="C10" s="9" t="n">
        <v>3</v>
      </c>
      <c r="D10" s="9" t="n">
        <v>2</v>
      </c>
      <c r="E10" s="9" t="s">
        <v>783</v>
      </c>
    </row>
    <row r="11" customFormat="false" ht="15" hidden="false" customHeight="false" outlineLevel="0" collapsed="false">
      <c r="A11" s="13" t="s">
        <v>784</v>
      </c>
      <c r="B11" s="13"/>
      <c r="C11" s="13" t="n">
        <f aca="false">SUM(C2:C10)</f>
        <v>137</v>
      </c>
      <c r="D11" s="13" t="n">
        <f aca="false">SUM(D2:D10)</f>
        <v>2</v>
      </c>
      <c r="E11" s="13" t="s">
        <v>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40"/>
    <col collapsed="false" customWidth="true" hidden="false" outlineLevel="0" max="4" min="4" style="0" width="60"/>
    <col collapsed="false" customWidth="true" hidden="false" outlineLevel="0" max="5" min="5" style="0" width="52"/>
    <col collapsed="false" customWidth="true" hidden="false" outlineLevel="0" max="6" min="6" style="0" width="60"/>
    <col collapsed="false" customWidth="true" hidden="false" outlineLevel="0" max="7" min="7" style="0" width="40"/>
  </cols>
  <sheetData>
    <row r="1" customFormat="false" ht="15" hidden="false" customHeight="false" outlineLevel="0" collapsed="false">
      <c r="A1" s="8" t="s">
        <v>194</v>
      </c>
      <c r="B1" s="8" t="s">
        <v>706</v>
      </c>
      <c r="C1" s="8" t="s">
        <v>786</v>
      </c>
      <c r="D1" s="8" t="s">
        <v>787</v>
      </c>
      <c r="E1" s="8" t="s">
        <v>203</v>
      </c>
      <c r="F1" s="8" t="s">
        <v>788</v>
      </c>
      <c r="G1" s="8" t="s">
        <v>789</v>
      </c>
    </row>
    <row r="2" customFormat="false" ht="68.65" hidden="false" customHeight="false" outlineLevel="0" collapsed="false">
      <c r="A2" s="9" t="s">
        <v>790</v>
      </c>
      <c r="B2" s="9" t="s">
        <v>791</v>
      </c>
      <c r="C2" s="9" t="s">
        <v>792</v>
      </c>
      <c r="D2" s="9" t="s">
        <v>793</v>
      </c>
      <c r="E2" s="11" t="s">
        <v>794</v>
      </c>
      <c r="F2" s="9" t="s">
        <v>795</v>
      </c>
      <c r="G2" s="9" t="s">
        <v>796</v>
      </c>
    </row>
    <row r="3" customFormat="false" ht="57.45" hidden="false" customHeight="false" outlineLevel="0" collapsed="false">
      <c r="A3" s="10" t="s">
        <v>797</v>
      </c>
      <c r="B3" s="10" t="s">
        <v>791</v>
      </c>
      <c r="C3" s="10" t="s">
        <v>798</v>
      </c>
      <c r="D3" s="10" t="s">
        <v>799</v>
      </c>
      <c r="E3" s="12" t="s">
        <v>800</v>
      </c>
      <c r="F3" s="10" t="s">
        <v>801</v>
      </c>
      <c r="G3" s="10" t="s">
        <v>802</v>
      </c>
    </row>
    <row r="4" customFormat="false" ht="35.05" hidden="false" customHeight="false" outlineLevel="0" collapsed="false">
      <c r="A4" s="9" t="s">
        <v>803</v>
      </c>
      <c r="B4" s="9" t="s">
        <v>791</v>
      </c>
      <c r="C4" s="9" t="s">
        <v>804</v>
      </c>
      <c r="D4" s="9" t="s">
        <v>805</v>
      </c>
      <c r="E4" s="11" t="s">
        <v>806</v>
      </c>
      <c r="F4" s="9" t="s">
        <v>807</v>
      </c>
      <c r="G4" s="9" t="s">
        <v>796</v>
      </c>
    </row>
    <row r="5" customFormat="false" ht="35.05" hidden="false" customHeight="false" outlineLevel="0" collapsed="false">
      <c r="A5" s="10" t="s">
        <v>808</v>
      </c>
      <c r="B5" s="10" t="s">
        <v>791</v>
      </c>
      <c r="C5" s="10" t="s">
        <v>809</v>
      </c>
      <c r="D5" s="10" t="s">
        <v>810</v>
      </c>
      <c r="E5" s="12" t="s">
        <v>811</v>
      </c>
      <c r="F5" s="10" t="s">
        <v>812</v>
      </c>
      <c r="G5" s="10" t="s">
        <v>796</v>
      </c>
    </row>
    <row r="6" customFormat="false" ht="35.05" hidden="false" customHeight="false" outlineLevel="0" collapsed="false">
      <c r="A6" s="9" t="s">
        <v>813</v>
      </c>
      <c r="B6" s="9" t="s">
        <v>791</v>
      </c>
      <c r="C6" s="9" t="s">
        <v>814</v>
      </c>
      <c r="D6" s="9" t="s">
        <v>815</v>
      </c>
      <c r="E6" s="11" t="s">
        <v>816</v>
      </c>
      <c r="F6" s="9" t="s">
        <v>817</v>
      </c>
      <c r="G6" s="9" t="s">
        <v>796</v>
      </c>
    </row>
    <row r="7" customFormat="false" ht="46.25" hidden="false" customHeight="false" outlineLevel="0" collapsed="false">
      <c r="A7" s="10" t="s">
        <v>818</v>
      </c>
      <c r="B7" s="10" t="s">
        <v>819</v>
      </c>
      <c r="C7" s="10" t="s">
        <v>820</v>
      </c>
      <c r="D7" s="10" t="s">
        <v>821</v>
      </c>
      <c r="E7" s="12" t="s">
        <v>822</v>
      </c>
      <c r="F7" s="10" t="s">
        <v>823</v>
      </c>
      <c r="G7" s="10" t="s">
        <v>796</v>
      </c>
    </row>
    <row r="8" customFormat="false" ht="46.25" hidden="false" customHeight="false" outlineLevel="0" collapsed="false">
      <c r="A8" s="9" t="s">
        <v>824</v>
      </c>
      <c r="B8" s="9" t="s">
        <v>819</v>
      </c>
      <c r="C8" s="9" t="s">
        <v>825</v>
      </c>
      <c r="D8" s="9" t="s">
        <v>826</v>
      </c>
      <c r="E8" s="11" t="s">
        <v>827</v>
      </c>
      <c r="F8" s="9" t="s">
        <v>828</v>
      </c>
      <c r="G8" s="9" t="s">
        <v>796</v>
      </c>
    </row>
    <row r="9" customFormat="false" ht="79.85" hidden="false" customHeight="false" outlineLevel="0" collapsed="false">
      <c r="A9" s="10" t="s">
        <v>829</v>
      </c>
      <c r="B9" s="10" t="s">
        <v>819</v>
      </c>
      <c r="C9" s="10" t="s">
        <v>830</v>
      </c>
      <c r="D9" s="10" t="s">
        <v>831</v>
      </c>
      <c r="E9" s="10" t="s">
        <v>832</v>
      </c>
      <c r="F9" s="10" t="s">
        <v>833</v>
      </c>
      <c r="G9" s="10" t="s">
        <v>796</v>
      </c>
    </row>
    <row r="10" customFormat="false" ht="124.6" hidden="false" customHeight="false" outlineLevel="0" collapsed="false">
      <c r="A10" s="9" t="s">
        <v>834</v>
      </c>
      <c r="B10" s="9" t="s">
        <v>819</v>
      </c>
      <c r="C10" s="9" t="s">
        <v>835</v>
      </c>
      <c r="D10" s="9" t="s">
        <v>836</v>
      </c>
      <c r="E10" s="9" t="s">
        <v>837</v>
      </c>
      <c r="F10" s="9" t="s">
        <v>838</v>
      </c>
      <c r="G10" s="9" t="s">
        <v>839</v>
      </c>
    </row>
    <row r="11" customFormat="false" ht="79.85" hidden="false" customHeight="false" outlineLevel="0" collapsed="false">
      <c r="A11" s="10" t="s">
        <v>840</v>
      </c>
      <c r="B11" s="10" t="s">
        <v>819</v>
      </c>
      <c r="C11" s="10" t="s">
        <v>841</v>
      </c>
      <c r="D11" s="10" t="s">
        <v>842</v>
      </c>
      <c r="E11" s="10" t="s">
        <v>843</v>
      </c>
      <c r="F11" s="10" t="s">
        <v>844</v>
      </c>
      <c r="G11" s="10" t="s">
        <v>796</v>
      </c>
    </row>
    <row r="12" customFormat="false" ht="68.65" hidden="false" customHeight="false" outlineLevel="0" collapsed="false">
      <c r="A12" s="9" t="s">
        <v>845</v>
      </c>
      <c r="B12" s="9" t="s">
        <v>819</v>
      </c>
      <c r="C12" s="9" t="s">
        <v>846</v>
      </c>
      <c r="D12" s="9" t="s">
        <v>847</v>
      </c>
      <c r="E12" s="9" t="s">
        <v>848</v>
      </c>
      <c r="F12" s="9" t="s">
        <v>849</v>
      </c>
      <c r="G12" s="9" t="s">
        <v>796</v>
      </c>
    </row>
    <row r="13" customFormat="false" ht="57.45" hidden="false" customHeight="false" outlineLevel="0" collapsed="false">
      <c r="A13" s="10" t="s">
        <v>850</v>
      </c>
      <c r="B13" s="10" t="s">
        <v>819</v>
      </c>
      <c r="C13" s="10" t="s">
        <v>851</v>
      </c>
      <c r="D13" s="10" t="s">
        <v>852</v>
      </c>
      <c r="E13" s="10" t="s">
        <v>853</v>
      </c>
      <c r="F13" s="10" t="s">
        <v>854</v>
      </c>
      <c r="G13" s="10" t="s">
        <v>796</v>
      </c>
    </row>
    <row r="14" customFormat="false" ht="46.25" hidden="false" customHeight="false" outlineLevel="0" collapsed="false">
      <c r="A14" s="9" t="s">
        <v>855</v>
      </c>
      <c r="B14" s="9" t="s">
        <v>819</v>
      </c>
      <c r="C14" s="9" t="s">
        <v>856</v>
      </c>
      <c r="D14" s="9" t="s">
        <v>857</v>
      </c>
      <c r="E14" s="9" t="s">
        <v>858</v>
      </c>
      <c r="F14" s="9" t="s">
        <v>859</v>
      </c>
      <c r="G14" s="9" t="s">
        <v>796</v>
      </c>
    </row>
    <row r="15" customFormat="false" ht="57.45" hidden="false" customHeight="false" outlineLevel="0" collapsed="false">
      <c r="A15" s="10" t="s">
        <v>860</v>
      </c>
      <c r="B15" s="10" t="s">
        <v>819</v>
      </c>
      <c r="C15" s="10" t="s">
        <v>861</v>
      </c>
      <c r="D15" s="10" t="s">
        <v>862</v>
      </c>
      <c r="E15" s="10" t="s">
        <v>863</v>
      </c>
      <c r="F15" s="10" t="s">
        <v>864</v>
      </c>
      <c r="G15" s="10" t="s">
        <v>796</v>
      </c>
    </row>
    <row r="16" customFormat="false" ht="35.05" hidden="false" customHeight="false" outlineLevel="0" collapsed="false">
      <c r="A16" s="9" t="s">
        <v>865</v>
      </c>
      <c r="B16" s="9" t="s">
        <v>819</v>
      </c>
      <c r="C16" s="9" t="s">
        <v>866</v>
      </c>
      <c r="D16" s="9" t="s">
        <v>867</v>
      </c>
      <c r="E16" s="9" t="s">
        <v>868</v>
      </c>
      <c r="F16" s="9" t="s">
        <v>869</v>
      </c>
      <c r="G16" s="9" t="s">
        <v>796</v>
      </c>
    </row>
    <row r="17" customFormat="false" ht="46.25" hidden="false" customHeight="false" outlineLevel="0" collapsed="false">
      <c r="A17" s="10" t="s">
        <v>870</v>
      </c>
      <c r="B17" s="10" t="s">
        <v>819</v>
      </c>
      <c r="C17" s="10" t="s">
        <v>871</v>
      </c>
      <c r="D17" s="10" t="s">
        <v>872</v>
      </c>
      <c r="E17" s="10" t="s">
        <v>873</v>
      </c>
      <c r="F17" s="10" t="s">
        <v>874</v>
      </c>
      <c r="G17" s="10" t="s">
        <v>796</v>
      </c>
    </row>
    <row r="18" customFormat="false" ht="68.65" hidden="false" customHeight="false" outlineLevel="0" collapsed="false">
      <c r="A18" s="9" t="s">
        <v>875</v>
      </c>
      <c r="B18" s="9" t="s">
        <v>819</v>
      </c>
      <c r="C18" s="9" t="s">
        <v>876</v>
      </c>
      <c r="D18" s="9" t="s">
        <v>877</v>
      </c>
      <c r="E18" s="9" t="s">
        <v>878</v>
      </c>
      <c r="F18" s="9" t="s">
        <v>879</v>
      </c>
      <c r="G18" s="9" t="s">
        <v>796</v>
      </c>
    </row>
    <row r="19" customFormat="false" ht="57.45" hidden="false" customHeight="false" outlineLevel="0" collapsed="false">
      <c r="A19" s="10" t="s">
        <v>880</v>
      </c>
      <c r="B19" s="10" t="s">
        <v>819</v>
      </c>
      <c r="C19" s="10" t="s">
        <v>881</v>
      </c>
      <c r="D19" s="10" t="s">
        <v>882</v>
      </c>
      <c r="E19" s="12" t="s">
        <v>883</v>
      </c>
      <c r="F19" s="10" t="s">
        <v>884</v>
      </c>
      <c r="G19" s="10" t="s">
        <v>796</v>
      </c>
    </row>
    <row r="20" customFormat="false" ht="35.05" hidden="false" customHeight="false" outlineLevel="0" collapsed="false">
      <c r="A20" s="9" t="s">
        <v>885</v>
      </c>
      <c r="B20" s="9" t="s">
        <v>886</v>
      </c>
      <c r="C20" s="9" t="s">
        <v>887</v>
      </c>
      <c r="D20" s="9" t="s">
        <v>888</v>
      </c>
      <c r="E20" s="9" t="s">
        <v>889</v>
      </c>
      <c r="F20" s="9" t="s">
        <v>890</v>
      </c>
      <c r="G20" s="9" t="s">
        <v>796</v>
      </c>
    </row>
    <row r="21" customFormat="false" ht="35.05" hidden="false" customHeight="false" outlineLevel="0" collapsed="false">
      <c r="A21" s="10" t="s">
        <v>891</v>
      </c>
      <c r="B21" s="10" t="s">
        <v>886</v>
      </c>
      <c r="C21" s="10" t="s">
        <v>892</v>
      </c>
      <c r="D21" s="10" t="s">
        <v>893</v>
      </c>
      <c r="E21" s="12" t="s">
        <v>445</v>
      </c>
      <c r="F21" s="10" t="s">
        <v>894</v>
      </c>
      <c r="G21" s="10" t="s">
        <v>895</v>
      </c>
    </row>
    <row r="22" customFormat="false" ht="35.05" hidden="false" customHeight="false" outlineLevel="0" collapsed="false">
      <c r="A22" s="9" t="s">
        <v>896</v>
      </c>
      <c r="B22" s="9" t="s">
        <v>886</v>
      </c>
      <c r="C22" s="9" t="s">
        <v>897</v>
      </c>
      <c r="D22" s="9" t="s">
        <v>898</v>
      </c>
      <c r="E22" s="11" t="s">
        <v>899</v>
      </c>
      <c r="F22" s="9" t="s">
        <v>900</v>
      </c>
      <c r="G22" s="9" t="s">
        <v>796</v>
      </c>
    </row>
    <row r="23" customFormat="false" ht="23.85" hidden="false" customHeight="false" outlineLevel="0" collapsed="false">
      <c r="A23" s="10" t="s">
        <v>901</v>
      </c>
      <c r="B23" s="10" t="s">
        <v>886</v>
      </c>
      <c r="C23" s="10" t="s">
        <v>902</v>
      </c>
      <c r="D23" s="10" t="s">
        <v>903</v>
      </c>
      <c r="E23" s="12" t="s">
        <v>904</v>
      </c>
      <c r="F23" s="10" t="s">
        <v>905</v>
      </c>
      <c r="G23" s="10" t="s">
        <v>796</v>
      </c>
    </row>
    <row r="24" customFormat="false" ht="46.25" hidden="false" customHeight="false" outlineLevel="0" collapsed="false">
      <c r="A24" s="9" t="s">
        <v>906</v>
      </c>
      <c r="B24" s="9" t="s">
        <v>886</v>
      </c>
      <c r="C24" s="9" t="s">
        <v>907</v>
      </c>
      <c r="D24" s="9" t="s">
        <v>908</v>
      </c>
      <c r="E24" s="11" t="s">
        <v>909</v>
      </c>
      <c r="F24" s="9" t="s">
        <v>910</v>
      </c>
      <c r="G24" s="9" t="s">
        <v>796</v>
      </c>
    </row>
    <row r="25" customFormat="false" ht="46.25" hidden="false" customHeight="false" outlineLevel="0" collapsed="false">
      <c r="A25" s="10" t="s">
        <v>911</v>
      </c>
      <c r="B25" s="10" t="s">
        <v>886</v>
      </c>
      <c r="C25" s="10" t="s">
        <v>912</v>
      </c>
      <c r="D25" s="10" t="s">
        <v>913</v>
      </c>
      <c r="E25" s="12" t="s">
        <v>914</v>
      </c>
      <c r="F25" s="10" t="s">
        <v>915</v>
      </c>
      <c r="G25" s="10" t="s">
        <v>796</v>
      </c>
    </row>
    <row r="26" customFormat="false" ht="23.85" hidden="false" customHeight="false" outlineLevel="0" collapsed="false">
      <c r="A26" s="9" t="s">
        <v>916</v>
      </c>
      <c r="B26" s="9" t="s">
        <v>886</v>
      </c>
      <c r="C26" s="9" t="s">
        <v>917</v>
      </c>
      <c r="D26" s="9" t="s">
        <v>918</v>
      </c>
      <c r="E26" s="11" t="s">
        <v>919</v>
      </c>
      <c r="F26" s="9" t="s">
        <v>920</v>
      </c>
      <c r="G26" s="9" t="s">
        <v>796</v>
      </c>
    </row>
    <row r="27" customFormat="false" ht="23.85" hidden="false" customHeight="false" outlineLevel="0" collapsed="false">
      <c r="A27" s="10" t="s">
        <v>921</v>
      </c>
      <c r="B27" s="10" t="s">
        <v>886</v>
      </c>
      <c r="C27" s="10" t="s">
        <v>922</v>
      </c>
      <c r="D27" s="10" t="s">
        <v>923</v>
      </c>
      <c r="E27" s="10" t="s">
        <v>924</v>
      </c>
      <c r="F27" s="10" t="s">
        <v>925</v>
      </c>
      <c r="G27" s="10" t="s">
        <v>796</v>
      </c>
    </row>
    <row r="28" customFormat="false" ht="23.85" hidden="false" customHeight="false" outlineLevel="0" collapsed="false">
      <c r="A28" s="9" t="s">
        <v>926</v>
      </c>
      <c r="B28" s="9" t="s">
        <v>886</v>
      </c>
      <c r="C28" s="9" t="s">
        <v>927</v>
      </c>
      <c r="D28" s="9" t="s">
        <v>928</v>
      </c>
      <c r="E28" s="11" t="s">
        <v>929</v>
      </c>
      <c r="F28" s="9" t="s">
        <v>930</v>
      </c>
      <c r="G28" s="9" t="s">
        <v>796</v>
      </c>
    </row>
    <row r="29" customFormat="false" ht="35.05" hidden="false" customHeight="false" outlineLevel="0" collapsed="false">
      <c r="A29" s="10" t="s">
        <v>931</v>
      </c>
      <c r="B29" s="10" t="s">
        <v>886</v>
      </c>
      <c r="C29" s="10" t="s">
        <v>932</v>
      </c>
      <c r="D29" s="10" t="s">
        <v>933</v>
      </c>
      <c r="E29" s="10" t="s">
        <v>934</v>
      </c>
      <c r="F29" s="10" t="s">
        <v>935</v>
      </c>
      <c r="G29" s="10" t="s">
        <v>936</v>
      </c>
    </row>
    <row r="30" customFormat="false" ht="35.05" hidden="false" customHeight="false" outlineLevel="0" collapsed="false">
      <c r="A30" s="9" t="s">
        <v>937</v>
      </c>
      <c r="B30" s="9" t="s">
        <v>886</v>
      </c>
      <c r="C30" s="9" t="s">
        <v>938</v>
      </c>
      <c r="D30" s="9" t="s">
        <v>939</v>
      </c>
      <c r="E30" s="9" t="s">
        <v>940</v>
      </c>
      <c r="F30" s="9" t="s">
        <v>941</v>
      </c>
      <c r="G30" s="9" t="s">
        <v>796</v>
      </c>
    </row>
    <row r="31" customFormat="false" ht="46.25" hidden="false" customHeight="false" outlineLevel="0" collapsed="false">
      <c r="A31" s="10" t="s">
        <v>942</v>
      </c>
      <c r="B31" s="10" t="s">
        <v>886</v>
      </c>
      <c r="C31" s="10" t="s">
        <v>943</v>
      </c>
      <c r="D31" s="10" t="s">
        <v>944</v>
      </c>
      <c r="E31" s="10" t="s">
        <v>945</v>
      </c>
      <c r="F31" s="10" t="s">
        <v>946</v>
      </c>
      <c r="G31" s="10" t="s">
        <v>796</v>
      </c>
    </row>
    <row r="32" customFormat="false" ht="113.4" hidden="false" customHeight="false" outlineLevel="0" collapsed="false">
      <c r="A32" s="9" t="s">
        <v>947</v>
      </c>
      <c r="B32" s="9" t="s">
        <v>886</v>
      </c>
      <c r="C32" s="9" t="s">
        <v>948</v>
      </c>
      <c r="D32" s="9" t="s">
        <v>949</v>
      </c>
      <c r="E32" s="9" t="s">
        <v>950</v>
      </c>
      <c r="F32" s="9" t="s">
        <v>951</v>
      </c>
      <c r="G32" s="9" t="s">
        <v>796</v>
      </c>
    </row>
    <row r="33" customFormat="false" ht="35.05" hidden="false" customHeight="false" outlineLevel="0" collapsed="false">
      <c r="A33" s="10" t="s">
        <v>952</v>
      </c>
      <c r="B33" s="10" t="s">
        <v>886</v>
      </c>
      <c r="C33" s="10" t="s">
        <v>953</v>
      </c>
      <c r="D33" s="10" t="s">
        <v>954</v>
      </c>
      <c r="E33" s="12" t="s">
        <v>955</v>
      </c>
      <c r="F33" s="10" t="s">
        <v>956</v>
      </c>
      <c r="G33" s="10" t="s">
        <v>957</v>
      </c>
    </row>
    <row r="34" customFormat="false" ht="57.45" hidden="false" customHeight="false" outlineLevel="0" collapsed="false">
      <c r="A34" s="9" t="s">
        <v>958</v>
      </c>
      <c r="B34" s="9" t="s">
        <v>886</v>
      </c>
      <c r="C34" s="9" t="s">
        <v>959</v>
      </c>
      <c r="D34" s="9" t="s">
        <v>960</v>
      </c>
      <c r="E34" s="11" t="s">
        <v>343</v>
      </c>
      <c r="F34" s="9" t="s">
        <v>961</v>
      </c>
      <c r="G34" s="9" t="s">
        <v>796</v>
      </c>
    </row>
    <row r="35" customFormat="false" ht="35.05" hidden="false" customHeight="false" outlineLevel="0" collapsed="false">
      <c r="A35" s="10" t="s">
        <v>962</v>
      </c>
      <c r="B35" s="10" t="s">
        <v>886</v>
      </c>
      <c r="C35" s="10" t="s">
        <v>963</v>
      </c>
      <c r="D35" s="10" t="s">
        <v>964</v>
      </c>
      <c r="E35" s="10" t="s">
        <v>965</v>
      </c>
      <c r="F35" s="10" t="s">
        <v>966</v>
      </c>
      <c r="G35" s="10" t="s">
        <v>796</v>
      </c>
    </row>
    <row r="36" customFormat="false" ht="57.45" hidden="false" customHeight="false" outlineLevel="0" collapsed="false">
      <c r="A36" s="9" t="s">
        <v>967</v>
      </c>
      <c r="B36" s="9" t="s">
        <v>886</v>
      </c>
      <c r="C36" s="9" t="s">
        <v>968</v>
      </c>
      <c r="D36" s="9" t="s">
        <v>969</v>
      </c>
      <c r="E36" s="9" t="s">
        <v>970</v>
      </c>
      <c r="F36" s="9" t="s">
        <v>971</v>
      </c>
      <c r="G36" s="9" t="s">
        <v>796</v>
      </c>
    </row>
    <row r="37" customFormat="false" ht="23.85" hidden="false" customHeight="false" outlineLevel="0" collapsed="false">
      <c r="A37" s="10" t="s">
        <v>972</v>
      </c>
      <c r="B37" s="10" t="s">
        <v>886</v>
      </c>
      <c r="C37" s="10" t="s">
        <v>973</v>
      </c>
      <c r="D37" s="10" t="s">
        <v>974</v>
      </c>
      <c r="E37" s="10" t="s">
        <v>54</v>
      </c>
      <c r="F37" s="10" t="s">
        <v>975</v>
      </c>
      <c r="G37" s="10" t="s">
        <v>796</v>
      </c>
    </row>
    <row r="38" customFormat="false" ht="23.85" hidden="false" customHeight="false" outlineLevel="0" collapsed="false">
      <c r="A38" s="9" t="s">
        <v>976</v>
      </c>
      <c r="B38" s="9" t="s">
        <v>886</v>
      </c>
      <c r="C38" s="9" t="s">
        <v>977</v>
      </c>
      <c r="D38" s="9" t="s">
        <v>978</v>
      </c>
      <c r="E38" s="9" t="s">
        <v>979</v>
      </c>
      <c r="F38" s="9" t="s">
        <v>980</v>
      </c>
      <c r="G38" s="9" t="s">
        <v>796</v>
      </c>
    </row>
    <row r="39" customFormat="false" ht="35.05" hidden="false" customHeight="false" outlineLevel="0" collapsed="false">
      <c r="A39" s="10" t="s">
        <v>981</v>
      </c>
      <c r="B39" s="10" t="s">
        <v>886</v>
      </c>
      <c r="C39" s="10" t="s">
        <v>982</v>
      </c>
      <c r="D39" s="10" t="s">
        <v>983</v>
      </c>
      <c r="E39" s="12" t="s">
        <v>984</v>
      </c>
      <c r="F39" s="10" t="s">
        <v>985</v>
      </c>
      <c r="G39" s="10" t="s">
        <v>986</v>
      </c>
    </row>
    <row r="40" customFormat="false" ht="23.85" hidden="false" customHeight="false" outlineLevel="0" collapsed="false">
      <c r="A40" s="9" t="s">
        <v>987</v>
      </c>
      <c r="B40" s="9" t="s">
        <v>886</v>
      </c>
      <c r="C40" s="9" t="s">
        <v>988</v>
      </c>
      <c r="D40" s="9" t="s">
        <v>989</v>
      </c>
      <c r="E40" s="9" t="s">
        <v>54</v>
      </c>
      <c r="F40" s="9" t="s">
        <v>990</v>
      </c>
      <c r="G40" s="9" t="s">
        <v>796</v>
      </c>
    </row>
    <row r="41" customFormat="false" ht="35.05" hidden="false" customHeight="false" outlineLevel="0" collapsed="false">
      <c r="A41" s="10" t="s">
        <v>991</v>
      </c>
      <c r="B41" s="10" t="s">
        <v>886</v>
      </c>
      <c r="C41" s="10" t="s">
        <v>992</v>
      </c>
      <c r="D41" s="10" t="s">
        <v>993</v>
      </c>
      <c r="E41" s="10" t="s">
        <v>54</v>
      </c>
      <c r="F41" s="10" t="s">
        <v>994</v>
      </c>
      <c r="G41" s="10" t="s">
        <v>796</v>
      </c>
    </row>
    <row r="42" customFormat="false" ht="57.45" hidden="false" customHeight="false" outlineLevel="0" collapsed="false">
      <c r="A42" s="9" t="s">
        <v>995</v>
      </c>
      <c r="B42" s="9" t="s">
        <v>886</v>
      </c>
      <c r="C42" s="9" t="s">
        <v>996</v>
      </c>
      <c r="D42" s="9" t="s">
        <v>997</v>
      </c>
      <c r="E42" s="9" t="s">
        <v>998</v>
      </c>
      <c r="F42" s="9" t="s">
        <v>999</v>
      </c>
      <c r="G42" s="9" t="s">
        <v>1000</v>
      </c>
    </row>
    <row r="43" customFormat="false" ht="46.25" hidden="false" customHeight="false" outlineLevel="0" collapsed="false">
      <c r="A43" s="10" t="s">
        <v>1001</v>
      </c>
      <c r="B43" s="10" t="s">
        <v>886</v>
      </c>
      <c r="C43" s="10" t="s">
        <v>1002</v>
      </c>
      <c r="D43" s="10" t="s">
        <v>1003</v>
      </c>
      <c r="E43" s="10" t="s">
        <v>1004</v>
      </c>
      <c r="F43" s="10" t="s">
        <v>1005</v>
      </c>
      <c r="G43" s="10" t="s">
        <v>1006</v>
      </c>
    </row>
    <row r="44" customFormat="false" ht="35.05" hidden="false" customHeight="false" outlineLevel="0" collapsed="false">
      <c r="A44" s="9" t="s">
        <v>1007</v>
      </c>
      <c r="B44" s="9" t="s">
        <v>886</v>
      </c>
      <c r="C44" s="9" t="s">
        <v>1008</v>
      </c>
      <c r="D44" s="9" t="s">
        <v>1009</v>
      </c>
      <c r="E44" s="9" t="s">
        <v>1010</v>
      </c>
      <c r="F44" s="9" t="s">
        <v>1011</v>
      </c>
      <c r="G44" s="9" t="s">
        <v>796</v>
      </c>
    </row>
    <row r="45" customFormat="false" ht="46.25" hidden="false" customHeight="false" outlineLevel="0" collapsed="false">
      <c r="A45" s="10" t="s">
        <v>1012</v>
      </c>
      <c r="B45" s="10" t="s">
        <v>886</v>
      </c>
      <c r="C45" s="10" t="s">
        <v>1013</v>
      </c>
      <c r="D45" s="10" t="s">
        <v>1014</v>
      </c>
      <c r="E45" s="10" t="s">
        <v>1015</v>
      </c>
      <c r="F45" s="10" t="s">
        <v>1016</v>
      </c>
      <c r="G45" s="10" t="s">
        <v>1017</v>
      </c>
    </row>
    <row r="46" customFormat="false" ht="23.85" hidden="false" customHeight="false" outlineLevel="0" collapsed="false">
      <c r="A46" s="9" t="s">
        <v>1018</v>
      </c>
      <c r="B46" s="9" t="s">
        <v>886</v>
      </c>
      <c r="C46" s="9" t="s">
        <v>1019</v>
      </c>
      <c r="D46" s="9" t="s">
        <v>1020</v>
      </c>
      <c r="E46" s="9" t="s">
        <v>54</v>
      </c>
      <c r="F46" s="9" t="s">
        <v>1021</v>
      </c>
      <c r="G46" s="9" t="s">
        <v>796</v>
      </c>
    </row>
    <row r="47" customFormat="false" ht="15" hidden="false" customHeight="false" outlineLevel="0" collapsed="false">
      <c r="A47" s="10" t="s">
        <v>1022</v>
      </c>
      <c r="B47" s="10" t="s">
        <v>886</v>
      </c>
      <c r="C47" s="10" t="s">
        <v>1023</v>
      </c>
      <c r="D47" s="10" t="s">
        <v>1024</v>
      </c>
      <c r="E47" s="10" t="s">
        <v>54</v>
      </c>
      <c r="F47" s="10" t="s">
        <v>1025</v>
      </c>
      <c r="G47" s="10" t="s">
        <v>1026</v>
      </c>
    </row>
  </sheetData>
  <hyperlinks>
    <hyperlink ref="E2" r:id="rId1" display="https://www.etsi.org/deliver/etsi_tr/102300_102399/10237602/01.01.01_60/tr_10237602v010101p.pdf"/>
    <hyperlink ref="E3" r:id="rId2" display="https://www.microwavejournal.com/articles/18088-tackling-satellite-interference:"/>
    <hyperlink ref="E4" r:id="rId3" display="http://aiac.ae.metu.edu.tr/paper.php/AIAC-2021-015"/>
    <hyperlink ref="E5" r:id="rId4" display="https://ieee-dataport.org/documents/gnss-interference-spectrum-highway-dataset-1:"/>
    <hyperlink ref="E6" r:id="rId5" display="https://arxiv.org/pdf/2007.10110"/>
    <hyperlink ref="E7" r:id="rId6" display="https://arxiv.org/html/2606.14147:"/>
    <hyperlink ref="E8" r:id="rId7" display="https://www.satellitetoday.com/connectivity/2005/08/01/satellite-operators-target-interference-problem/:"/>
    <hyperlink ref="E19" r:id="rId8" display="https://dl.acm.org/doi/pdf/10.1145/3231884.3231901:"/>
    <hyperlink ref="E21" r:id="rId9" display="http://phwl.org/assets/papers/cycloamc_fpt25.pdf"/>
    <hyperlink ref="E22" r:id="rId10" display="https://doi.org/10.1109/tmlcn.2024.3418933"/>
    <hyperlink ref="E23" r:id="rId11" display="https://orbilu.uni.lu/bitstream/10993/60597/1/Moatssim__ICC__Final.pdf"/>
    <hyperlink ref="E24" r:id="rId12" display="https://doi.org/10.1109/mcom.001.2000367:"/>
    <hyperlink ref="E25" r:id="rId13" display="https://doi.org/10.1109/acsat63853.2024.10823708"/>
    <hyperlink ref="E26" r:id="rId14" display="https://doi.org/10.1049/joe.2015.0178."/>
    <hyperlink ref="E28" r:id="rId15" display="https://www.mdpi.com/2226-4310/10/2/101"/>
    <hyperlink ref="E33" r:id="rId16" display="https://www.comsatlegacy.com/COMSAT%20Technical%20Review/CTR,%20Cumul.%20Index,%201971-1992.PDF"/>
    <hyperlink ref="E34" r:id="rId17" display="https://doi.org/10.1145/3231884.3231901"/>
    <hyperlink ref="E39" r:id="rId18" display="https://www.satellitetoday.com/technology/2014/03/26/preventing-adjacent-satellite-interfere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9"/>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18"/>
  </cols>
  <sheetData>
    <row r="1" customFormat="false" ht="15" hidden="false" customHeight="false" outlineLevel="0" collapsed="false">
      <c r="A1" s="8" t="s">
        <v>194</v>
      </c>
      <c r="B1" s="8" t="s">
        <v>1027</v>
      </c>
      <c r="C1" s="8" t="s">
        <v>43</v>
      </c>
    </row>
    <row r="2" customFormat="false" ht="15" hidden="false" customHeight="false" outlineLevel="0" collapsed="false">
      <c r="A2" s="9" t="n">
        <v>1</v>
      </c>
      <c r="B2" s="9" t="s">
        <v>1028</v>
      </c>
      <c r="C2" s="9" t="s">
        <v>49</v>
      </c>
    </row>
    <row r="3" customFormat="false" ht="15" hidden="false" customHeight="false" outlineLevel="0" collapsed="false">
      <c r="A3" s="10" t="n">
        <v>2</v>
      </c>
      <c r="B3" s="10" t="s">
        <v>1029</v>
      </c>
      <c r="C3" s="10" t="s">
        <v>49</v>
      </c>
    </row>
    <row r="4" customFormat="false" ht="15" hidden="false" customHeight="false" outlineLevel="0" collapsed="false">
      <c r="A4" s="9" t="n">
        <v>3</v>
      </c>
      <c r="B4" s="9" t="s">
        <v>1030</v>
      </c>
      <c r="C4" s="9" t="s">
        <v>49</v>
      </c>
    </row>
    <row r="5" customFormat="false" ht="15" hidden="false" customHeight="false" outlineLevel="0" collapsed="false">
      <c r="A5" s="10" t="n">
        <v>4</v>
      </c>
      <c r="B5" s="10" t="s">
        <v>1031</v>
      </c>
      <c r="C5" s="10" t="s">
        <v>49</v>
      </c>
    </row>
    <row r="6" customFormat="false" ht="15" hidden="false" customHeight="false" outlineLevel="0" collapsed="false">
      <c r="A6" s="9" t="n">
        <v>5</v>
      </c>
      <c r="B6" s="9" t="s">
        <v>1032</v>
      </c>
      <c r="C6" s="9" t="s">
        <v>49</v>
      </c>
    </row>
    <row r="7" customFormat="false" ht="15" hidden="false" customHeight="false" outlineLevel="0" collapsed="false">
      <c r="A7" s="10" t="n">
        <v>6</v>
      </c>
      <c r="B7" s="10" t="s">
        <v>1033</v>
      </c>
      <c r="C7" s="10"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2026-10-23T08:33:23Z</dcterms:created>
  <dc:creator>openpyxl</dc:creator>
  <dc:description/>
  <dc:language>en-US</dc:language>
  <cp:lastModifiedBy/>
  <dcterms:modified xsi:type="dcterms:W3CDTF">2026-10-23T08:33:23Z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